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name="PK" sheetId="1" state="visible" r:id="rId1"/>
    <sheet name="PM" sheetId="2" state="visible" r:id="rId2"/>
  </sheets>
  <definedNames>
    <definedName name="_xlnm._FilterDatabase" localSheetId="0" hidden="1">'PK'!$A$1:$R$40</definedName>
    <definedName name="_xlnm._FilterDatabase" localSheetId="1" hidden="1">'PM'!$A$1:$U$55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-* #,##0_-;\-* #,##0_-;_-* &quot;-&quot;_-;_-@_-"/>
    <numFmt numFmtId="165" formatCode="#,##0;[Red]#,##0"/>
    <numFmt numFmtId="166" formatCode="_(* #,##0_);_(* \(#,##0\);_(* &quot;-&quot;??_);_(@_)"/>
  </numFmts>
  <fonts count="3"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1" fillId="0" borderId="0"/>
    <xf numFmtId="41" fontId="1" fillId="0" borderId="0"/>
    <xf numFmtId="43" fontId="1" fillId="0" borderId="0"/>
  </cellStyleXfs>
  <cellXfs count="41">
    <xf numFmtId="0" fontId="0" fillId="0" borderId="0" pivotButton="0" quotePrefix="0" xfId="0"/>
    <xf numFmtId="164" fontId="0" fillId="0" borderId="0" pivotButton="0" quotePrefix="0" xfId="1"/>
    <xf numFmtId="0" fontId="0" fillId="0" borderId="0" applyAlignment="1" pivotButton="0" quotePrefix="0" xfId="0">
      <alignment horizontal="center" vertical="center"/>
    </xf>
    <xf numFmtId="43" fontId="0" fillId="0" borderId="0" applyAlignment="1" pivotButton="0" quotePrefix="0" xfId="2">
      <alignment horizontal="center" vertical="center"/>
    </xf>
    <xf numFmtId="3" fontId="0" fillId="0" borderId="0" pivotButton="0" quotePrefix="0" xfId="0"/>
    <xf numFmtId="43" fontId="0" fillId="0" borderId="0" pivotButton="0" quotePrefix="0" xfId="2"/>
    <xf numFmtId="4" fontId="0" fillId="0" borderId="0" pivotButton="0" quotePrefix="0" xfId="0"/>
    <xf numFmtId="165" fontId="0" fillId="0" borderId="0" applyAlignment="1" pivotButton="0" quotePrefix="0" xfId="1">
      <alignment horizontal="center" vertical="center"/>
    </xf>
    <xf numFmtId="165" fontId="0" fillId="2" borderId="0" applyAlignment="1" pivotButton="0" quotePrefix="0" xfId="1">
      <alignment horizontal="center" vertical="center"/>
    </xf>
    <xf numFmtId="164" fontId="2" fillId="0" borderId="0" applyAlignment="1" pivotButton="0" quotePrefix="0" xfId="1">
      <alignment horizontal="center" vertical="center"/>
    </xf>
    <xf numFmtId="0" fontId="2" fillId="0" borderId="0" applyAlignment="1" pivotButton="0" quotePrefix="0" xfId="0">
      <alignment horizontal="center" vertical="center"/>
    </xf>
    <xf numFmtId="164" fontId="0" fillId="0" borderId="0" applyAlignment="1" pivotButton="0" quotePrefix="0" xfId="1">
      <alignment horizontal="center"/>
    </xf>
    <xf numFmtId="164" fontId="0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0" pivotButton="0" quotePrefix="0" xfId="1"/>
    <xf numFmtId="165" fontId="0" fillId="0" borderId="0" applyAlignment="1" pivotButton="0" quotePrefix="0" xfId="1">
      <alignment horizontal="center" vertical="center"/>
    </xf>
    <xf numFmtId="164" fontId="0" fillId="0" borderId="0" applyAlignment="1" pivotButton="0" quotePrefix="0" xfId="1">
      <alignment horizontal="center"/>
    </xf>
    <xf numFmtId="3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2">
      <alignment horizontal="center" vertical="center"/>
    </xf>
    <xf numFmtId="166" fontId="0" fillId="0" borderId="0" pivotButton="0" quotePrefix="0" xfId="2"/>
    <xf numFmtId="164" fontId="0" fillId="0" borderId="0" pivotButton="0" quotePrefix="0" xfId="1"/>
    <xf numFmtId="164" fontId="0" fillId="0" borderId="0" pivotButton="0" quotePrefix="0" xfId="1"/>
    <xf numFmtId="0" fontId="2" fillId="2" borderId="0" applyAlignment="1" pivotButton="0" quotePrefix="0" xfId="0">
      <alignment horizontal="center" vertical="center"/>
    </xf>
    <xf numFmtId="164" fontId="0" fillId="0" borderId="0" applyAlignment="1" pivotButton="0" quotePrefix="0" xfId="1">
      <alignment horizontal="center" vertical="center"/>
    </xf>
    <xf numFmtId="164" fontId="0" fillId="0" borderId="0" applyAlignment="1" pivotButton="0" quotePrefix="0" xfId="1">
      <alignment horizontal="center" vertical="center"/>
    </xf>
    <xf numFmtId="165" fontId="0" fillId="0" borderId="0" applyAlignment="1" pivotButton="0" quotePrefix="0" xfId="1">
      <alignment horizontal="center"/>
    </xf>
    <xf numFmtId="165" fontId="0" fillId="0" borderId="0" applyAlignment="1" pivotButton="0" quotePrefix="0" xfId="1">
      <alignment horizontal="center"/>
    </xf>
    <xf numFmtId="165" fontId="0" fillId="0" borderId="0" applyAlignment="1" pivotButton="0" quotePrefix="0" xfId="0">
      <alignment horizontal="center"/>
    </xf>
    <xf numFmtId="165" fontId="0" fillId="2" borderId="0" applyAlignment="1" pivotButton="0" quotePrefix="0" xfId="1">
      <alignment horizontal="center"/>
    </xf>
    <xf numFmtId="165" fontId="0" fillId="0" borderId="0" applyAlignment="1" pivotButton="0" quotePrefix="0" xfId="1">
      <alignment horizontal="center"/>
    </xf>
    <xf numFmtId="164" fontId="0" fillId="0" borderId="0" pivotButton="0" quotePrefix="0" xfId="1"/>
    <xf numFmtId="164" fontId="0" fillId="0" borderId="0" applyAlignment="1" pivotButton="0" quotePrefix="0" xfId="1">
      <alignment horizontal="center" vertical="center"/>
    </xf>
    <xf numFmtId="43" fontId="0" fillId="0" borderId="0" applyAlignment="1" pivotButton="0" quotePrefix="0" xfId="2">
      <alignment horizontal="center" vertical="center"/>
    </xf>
    <xf numFmtId="43" fontId="0" fillId="0" borderId="0" pivotButton="0" quotePrefix="0" xfId="2"/>
    <xf numFmtId="164" fontId="0" fillId="0" borderId="0" applyAlignment="1" pivotButton="0" quotePrefix="0" xfId="0">
      <alignment horizontal="center"/>
    </xf>
    <xf numFmtId="164" fontId="0" fillId="0" borderId="0" applyAlignment="1" pivotButton="0" quotePrefix="0" xfId="1">
      <alignment horizontal="center"/>
    </xf>
    <xf numFmtId="164" fontId="2" fillId="0" borderId="0" applyAlignment="1" pivotButton="0" quotePrefix="0" xfId="1">
      <alignment horizontal="center" vertical="center"/>
    </xf>
    <xf numFmtId="4" fontId="0" fillId="0" borderId="0" applyAlignment="1" pivotButton="0" quotePrefix="0" xfId="1">
      <alignment horizontal="center" vertical="center"/>
    </xf>
    <xf numFmtId="3" fontId="0" fillId="0" borderId="0" applyAlignment="1" pivotButton="0" quotePrefix="0" xfId="1">
      <alignment horizontal="center" vertical="center"/>
    </xf>
    <xf numFmtId="4" fontId="0" fillId="0" borderId="0" applyAlignment="1" pivotButton="0" quotePrefix="0" xfId="0">
      <alignment horizontal="center"/>
    </xf>
  </cellXfs>
  <cellStyles count="3">
    <cellStyle name="Normal" xfId="0" builtinId="0"/>
    <cellStyle name="Comma [0]" xfId="1" builtinId="6"/>
    <cellStyle name="Comma" xfId="2" builtinId="3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0"/>
  <sheetViews>
    <sheetView topLeftCell="A25" zoomScale="106" zoomScaleNormal="106" workbookViewId="0">
      <selection activeCell="K64" sqref="K64"/>
    </sheetView>
  </sheetViews>
  <sheetFormatPr baseColWidth="8" defaultColWidth="8.625" defaultRowHeight="15.75"/>
  <cols>
    <col width="28.625" bestFit="1" customWidth="1" min="1" max="1"/>
    <col width="21.625" bestFit="1" customWidth="1" min="2" max="2"/>
    <col width="35.125" customWidth="1" min="3" max="3"/>
    <col width="26.25" customWidth="1" min="4" max="4"/>
    <col width="22" customWidth="1" min="5" max="5"/>
    <col width="10.125" bestFit="1" customWidth="1" min="6" max="6"/>
    <col width="5.875" bestFit="1" customWidth="1" min="7" max="7"/>
    <col width="11.375" bestFit="1" customWidth="1" min="8" max="8"/>
    <col width="10.125" bestFit="1" customWidth="1" min="9" max="9"/>
    <col width="44.375" customWidth="1" style="2" min="10" max="10"/>
    <col width="24.625" bestFit="1" customWidth="1" style="31" min="11" max="11"/>
    <col width="16.5" bestFit="1" customWidth="1" style="31" min="12" max="12"/>
    <col width="20.625" customWidth="1" style="31" min="13" max="13"/>
    <col width="12.875" customWidth="1" style="32" min="14" max="14"/>
    <col width="18.875" customWidth="1" style="30" min="15" max="15"/>
    <col width="17.625" bestFit="1" customWidth="1" min="16" max="16"/>
    <col width="16" bestFit="1" customWidth="1" min="18" max="18"/>
  </cols>
  <sheetData>
    <row r="1">
      <c r="A1" t="inlineStr">
        <is>
          <t>NPWP Pembeli / Identitas lainnya</t>
        </is>
      </c>
      <c r="B1" t="inlineStr">
        <is>
          <t>Nama Pembeli</t>
        </is>
      </c>
      <c r="C1" t="inlineStr">
        <is>
          <t>Kode Transaksi</t>
        </is>
      </c>
      <c r="D1" t="inlineStr">
        <is>
          <t>Nomor Faktur Pajak</t>
        </is>
      </c>
      <c r="E1" t="inlineStr">
        <is>
          <t>Tanggal Faktur Pajak</t>
        </is>
      </c>
      <c r="F1" t="inlineStr">
        <is>
          <t>Masa Pajak</t>
        </is>
      </c>
      <c r="G1" t="inlineStr">
        <is>
          <t>Tahun</t>
        </is>
      </c>
      <c r="H1" t="inlineStr">
        <is>
          <t>Status Faktur</t>
        </is>
      </c>
      <c r="I1" t="inlineStr">
        <is>
          <t>ESignStatus</t>
        </is>
      </c>
      <c r="J1" s="23" t="inlineStr">
        <is>
          <t>NO.INV</t>
        </is>
      </c>
      <c r="K1" s="31" t="inlineStr">
        <is>
          <t>Harga Jual/Penggantian/DPP</t>
        </is>
      </c>
      <c r="L1" s="31" t="inlineStr">
        <is>
          <t>DPP Nilai Lain/DPP</t>
        </is>
      </c>
      <c r="M1" s="31" t="inlineStr">
        <is>
          <t>PPN</t>
        </is>
      </c>
      <c r="N1" s="32" t="inlineStr">
        <is>
          <t>QTY</t>
        </is>
      </c>
      <c r="O1" s="29" t="inlineStr">
        <is>
          <t>PUPUK</t>
        </is>
      </c>
    </row>
    <row r="2">
      <c r="A2" t="inlineStr">
        <is>
          <t>0011036266092000</t>
        </is>
      </c>
      <c r="B2" t="inlineStr">
        <is>
          <t>GREAT GIANT PINEAPPLE</t>
        </is>
      </c>
      <c r="C2" t="inlineStr">
        <is>
          <t>07 - penyerahan dengan fasilitas PPN atau PPN dan PPnBM tidak dipungut/ditanggung pemerintah</t>
        </is>
      </c>
      <c r="D2" t="inlineStr">
        <is>
          <t>07002600005594009</t>
        </is>
      </c>
      <c r="E2" t="inlineStr">
        <is>
          <t>2026-01-05T00:00:00</t>
        </is>
      </c>
      <c r="F2" t="inlineStr">
        <is>
          <t>Januari</t>
        </is>
      </c>
      <c r="G2" t="inlineStr">
        <is>
          <t>2026</t>
        </is>
      </c>
      <c r="H2" t="inlineStr">
        <is>
          <t>APPROVED</t>
        </is>
      </c>
      <c r="I2" t="inlineStr">
        <is>
          <t>Done</t>
        </is>
      </c>
      <c r="J2" s="2" t="inlineStr">
        <is>
          <t>TSPI/GGPC/FP/2026/I/001</t>
        </is>
      </c>
      <c r="K2" s="31" t="n">
        <v>1391400000</v>
      </c>
      <c r="L2" s="31" t="n">
        <v>1275450000</v>
      </c>
      <c r="M2" s="31" t="n">
        <v>153054000</v>
      </c>
      <c r="N2" s="32" t="n">
        <v>180000</v>
      </c>
      <c r="O2" s="30" t="n">
        <v>1391400000</v>
      </c>
    </row>
    <row r="3">
      <c r="A3" t="inlineStr">
        <is>
          <t>0011036266092000</t>
        </is>
      </c>
      <c r="B3" t="inlineStr">
        <is>
          <t>GREAT GIANT PINEAPPLE</t>
        </is>
      </c>
      <c r="C3" t="inlineStr">
        <is>
          <t>07 - penyerahan dengan fasilitas PPN atau PPN dan PPnBM tidak dipungut/ditanggung pemerintah</t>
        </is>
      </c>
      <c r="D3" t="inlineStr">
        <is>
          <t>07002600005563237</t>
        </is>
      </c>
      <c r="E3" t="inlineStr">
        <is>
          <t>2026-01-12T00:00:00</t>
        </is>
      </c>
      <c r="F3" t="inlineStr">
        <is>
          <t>Januari</t>
        </is>
      </c>
      <c r="G3" t="inlineStr">
        <is>
          <t>2026</t>
        </is>
      </c>
      <c r="H3" t="inlineStr">
        <is>
          <t>APPROVED</t>
        </is>
      </c>
      <c r="I3" t="inlineStr">
        <is>
          <t>Done</t>
        </is>
      </c>
      <c r="J3" s="2" t="inlineStr">
        <is>
          <t>TSPI/GGPC/FP/2026/I/002</t>
        </is>
      </c>
      <c r="K3" s="31" t="n">
        <v>1546000000</v>
      </c>
      <c r="L3" s="31" t="n">
        <v>1417166667</v>
      </c>
      <c r="M3" s="31" t="n">
        <v>170060000</v>
      </c>
      <c r="N3" s="32" t="n">
        <v>200000</v>
      </c>
      <c r="O3" s="30" t="n">
        <v>1546000000</v>
      </c>
    </row>
    <row r="4">
      <c r="A4" t="inlineStr">
        <is>
          <t>0010606119092000</t>
        </is>
      </c>
      <c r="B4" t="inlineStr">
        <is>
          <t>GULA PUTIH MATARAM</t>
        </is>
      </c>
      <c r="C4" t="inlineStr">
        <is>
          <t>04 - DPP Nilai Lain</t>
        </is>
      </c>
      <c r="D4" t="inlineStr">
        <is>
          <t>04012600014349992</t>
        </is>
      </c>
      <c r="E4" t="inlineStr">
        <is>
          <t>2026-01-19T00:00:00</t>
        </is>
      </c>
      <c r="F4" t="inlineStr">
        <is>
          <t>Januari</t>
        </is>
      </c>
      <c r="G4" t="inlineStr">
        <is>
          <t>2026</t>
        </is>
      </c>
      <c r="H4" t="inlineStr">
        <is>
          <t>APPROVED</t>
        </is>
      </c>
      <c r="J4" s="2" t="inlineStr">
        <is>
          <t>TSPI/GPM/FP/2026/I/002</t>
        </is>
      </c>
      <c r="K4" s="31" t="n">
        <v>921815750</v>
      </c>
      <c r="L4" s="31" t="n">
        <v>844997771</v>
      </c>
      <c r="M4" s="31" t="n">
        <v>101399733</v>
      </c>
      <c r="N4" s="32" t="n">
        <v>119950</v>
      </c>
      <c r="O4" s="30" t="n">
        <v>921815750</v>
      </c>
    </row>
    <row r="5">
      <c r="A5" t="inlineStr">
        <is>
          <t>0013465182326000</t>
        </is>
      </c>
      <c r="B5" t="inlineStr">
        <is>
          <t>SWEET INDOLAMPUNG</t>
        </is>
      </c>
      <c r="C5" t="inlineStr">
        <is>
          <t>04 - DPP Nilai Lain</t>
        </is>
      </c>
      <c r="D5" t="inlineStr">
        <is>
          <t>04002600014351726</t>
        </is>
      </c>
      <c r="E5" t="inlineStr">
        <is>
          <t>2026-01-20T00:00:00</t>
        </is>
      </c>
      <c r="F5" t="inlineStr">
        <is>
          <t>Januari</t>
        </is>
      </c>
      <c r="G5" t="inlineStr">
        <is>
          <t>2026</t>
        </is>
      </c>
      <c r="H5" t="inlineStr">
        <is>
          <t>APPROVED</t>
        </is>
      </c>
      <c r="I5" t="inlineStr">
        <is>
          <t>Done</t>
        </is>
      </c>
      <c r="J5" s="2" t="inlineStr">
        <is>
          <t>TSPI/SIL/FP/2026/I/002</t>
        </is>
      </c>
      <c r="K5" s="31" t="n">
        <v>921277800</v>
      </c>
      <c r="L5" s="31" t="n">
        <v>844504650</v>
      </c>
      <c r="M5" s="31" t="n">
        <v>101340558</v>
      </c>
      <c r="N5" s="32" t="n">
        <v>119880</v>
      </c>
      <c r="O5" s="30" t="n">
        <v>921277800</v>
      </c>
    </row>
    <row r="6">
      <c r="A6" t="inlineStr">
        <is>
          <t>0013465570092000</t>
        </is>
      </c>
      <c r="B6" t="inlineStr">
        <is>
          <t>INDOLAMPUNG PERKASA</t>
        </is>
      </c>
      <c r="C6" t="inlineStr">
        <is>
          <t>04 - DPP Nilai Lain</t>
        </is>
      </c>
      <c r="D6" t="inlineStr">
        <is>
          <t>04002600014350907</t>
        </is>
      </c>
      <c r="E6" t="inlineStr">
        <is>
          <t>2026-01-19T00:00:00</t>
        </is>
      </c>
      <c r="F6" t="inlineStr">
        <is>
          <t>Januari</t>
        </is>
      </c>
      <c r="G6" t="inlineStr">
        <is>
          <t>2026</t>
        </is>
      </c>
      <c r="H6" t="inlineStr">
        <is>
          <t>APPROVED</t>
        </is>
      </c>
      <c r="I6" t="inlineStr">
        <is>
          <t>Done</t>
        </is>
      </c>
      <c r="J6" s="2" t="inlineStr">
        <is>
          <t>TSPI/ILP/FP/2026/I/002</t>
        </is>
      </c>
      <c r="K6" s="31" t="n">
        <v>1074747250</v>
      </c>
      <c r="L6" s="31" t="n">
        <v>985184979</v>
      </c>
      <c r="M6" s="31" t="n">
        <v>118222198</v>
      </c>
      <c r="N6" s="32" t="n">
        <v>139850</v>
      </c>
      <c r="O6" s="30" t="n">
        <v>1074747250</v>
      </c>
    </row>
    <row r="7">
      <c r="A7" t="inlineStr">
        <is>
          <t>0010606119092000</t>
        </is>
      </c>
      <c r="B7" t="inlineStr">
        <is>
          <t>GULA PUTIH MATARAM</t>
        </is>
      </c>
      <c r="C7" t="inlineStr">
        <is>
          <t>04 - DPP Nilai Lain</t>
        </is>
      </c>
      <c r="D7" t="inlineStr">
        <is>
          <t>04002600014350471</t>
        </is>
      </c>
      <c r="E7" t="inlineStr">
        <is>
          <t>2026-01-19T00:00:00</t>
        </is>
      </c>
      <c r="F7" t="inlineStr">
        <is>
          <t>Januari</t>
        </is>
      </c>
      <c r="G7" t="inlineStr">
        <is>
          <t>2026</t>
        </is>
      </c>
      <c r="H7" t="inlineStr">
        <is>
          <t>APPROVED</t>
        </is>
      </c>
      <c r="I7" t="inlineStr">
        <is>
          <t>Done</t>
        </is>
      </c>
      <c r="J7" s="2" t="inlineStr">
        <is>
          <t>TSPI/GPM/FP/2026/I/001</t>
        </is>
      </c>
      <c r="K7" s="31" t="n">
        <v>1536308350</v>
      </c>
      <c r="L7" s="31" t="n">
        <v>1408282654</v>
      </c>
      <c r="M7" s="31" t="n">
        <v>168993919</v>
      </c>
      <c r="N7" s="32" t="n">
        <v>199910</v>
      </c>
      <c r="O7" s="30" t="n">
        <v>1536308350</v>
      </c>
    </row>
    <row r="8">
      <c r="A8" t="inlineStr">
        <is>
          <t>0010606119092000</t>
        </is>
      </c>
      <c r="B8" t="inlineStr">
        <is>
          <t>GULA PUTIH MATARAM</t>
        </is>
      </c>
      <c r="C8" t="inlineStr">
        <is>
          <t>04 - DPP Nilai Lain</t>
        </is>
      </c>
      <c r="D8" t="inlineStr">
        <is>
          <t>04002600014348892</t>
        </is>
      </c>
      <c r="E8" t="inlineStr">
        <is>
          <t>2026-01-19T00:00:00</t>
        </is>
      </c>
      <c r="F8" t="inlineStr">
        <is>
          <t>Januari</t>
        </is>
      </c>
      <c r="G8" t="inlineStr">
        <is>
          <t>2026</t>
        </is>
      </c>
      <c r="H8" t="inlineStr">
        <is>
          <t>APPROVED</t>
        </is>
      </c>
      <c r="I8" t="inlineStr">
        <is>
          <t>Done</t>
        </is>
      </c>
      <c r="J8" s="2" t="inlineStr">
        <is>
          <t>TSPI/GPM/FP/2026/I/002</t>
        </is>
      </c>
      <c r="K8" s="31" t="n">
        <v>921047250</v>
      </c>
      <c r="L8" s="31" t="n">
        <v>844293313</v>
      </c>
      <c r="M8" s="31" t="n">
        <v>101315198</v>
      </c>
      <c r="N8" s="32" t="n">
        <v>119850</v>
      </c>
      <c r="O8" s="30" t="n">
        <v>921047250</v>
      </c>
      <c r="P8" s="33" t="n"/>
    </row>
    <row r="9">
      <c r="A9" t="inlineStr">
        <is>
          <t>0013465182326000</t>
        </is>
      </c>
      <c r="B9" t="inlineStr">
        <is>
          <t>SWEET INDOLAMPUNG</t>
        </is>
      </c>
      <c r="C9" t="inlineStr">
        <is>
          <t>04 - DPP Nilai Lain</t>
        </is>
      </c>
      <c r="D9" t="inlineStr">
        <is>
          <t>04012600013017837</t>
        </is>
      </c>
      <c r="E9" t="inlineStr">
        <is>
          <t>2026-01-02T00:00:00</t>
        </is>
      </c>
      <c r="F9" t="inlineStr">
        <is>
          <t>Januari</t>
        </is>
      </c>
      <c r="G9" t="inlineStr">
        <is>
          <t>2026</t>
        </is>
      </c>
      <c r="H9" t="inlineStr">
        <is>
          <t>APPROVED</t>
        </is>
      </c>
      <c r="J9" s="2" t="inlineStr">
        <is>
          <t>TSPI/SIL/FP/2026/I/001</t>
        </is>
      </c>
      <c r="K9" s="31" t="n">
        <v>1151366700</v>
      </c>
      <c r="L9" s="31" t="n">
        <v>1055419475</v>
      </c>
      <c r="M9" s="31" t="n">
        <v>126650337</v>
      </c>
      <c r="N9" s="32" t="n">
        <v>149280</v>
      </c>
      <c r="O9" s="30" t="n">
        <v>1151366700</v>
      </c>
    </row>
    <row r="10">
      <c r="A10" t="inlineStr">
        <is>
          <t>0013465570092000</t>
        </is>
      </c>
      <c r="B10" t="inlineStr">
        <is>
          <t>INDOLAMPUNG PERKASA</t>
        </is>
      </c>
      <c r="C10" t="inlineStr">
        <is>
          <t>04 - DPP Nilai Lain</t>
        </is>
      </c>
      <c r="D10" t="inlineStr">
        <is>
          <t>04012600013007707</t>
        </is>
      </c>
      <c r="E10" t="inlineStr">
        <is>
          <t>2026-01-05T00:00:00</t>
        </is>
      </c>
      <c r="F10" t="inlineStr">
        <is>
          <t>Januari</t>
        </is>
      </c>
      <c r="G10" t="inlineStr">
        <is>
          <t>2026</t>
        </is>
      </c>
      <c r="H10" t="inlineStr">
        <is>
          <t>APPROVED</t>
        </is>
      </c>
      <c r="J10" s="2" t="inlineStr">
        <is>
          <t>TSPI/ILP/FP/2026/I/001</t>
        </is>
      </c>
      <c r="K10" s="31" t="n">
        <v>1152750000</v>
      </c>
      <c r="L10" s="31" t="n">
        <v>1056687500</v>
      </c>
      <c r="M10" s="31" t="n">
        <v>126802500</v>
      </c>
      <c r="N10" s="32" t="n">
        <v>150000</v>
      </c>
      <c r="O10" s="30" t="n">
        <v>1152750000</v>
      </c>
      <c r="P10" s="4" t="n"/>
    </row>
    <row r="11">
      <c r="A11" t="inlineStr">
        <is>
          <t>0011036266092000</t>
        </is>
      </c>
      <c r="B11" t="inlineStr">
        <is>
          <t>GREAT GIANT PINEAPPLE</t>
        </is>
      </c>
      <c r="C11" t="inlineStr">
        <is>
          <t>07 - penyerahan dengan fasilitas PPN atau PPN dan PPnBM tidak dipungut/ditanggung pemerintah</t>
        </is>
      </c>
      <c r="D11" t="inlineStr">
        <is>
          <t>07002600019500067</t>
        </is>
      </c>
      <c r="E11" t="inlineStr">
        <is>
          <t>2026-01-27T00:00:00</t>
        </is>
      </c>
      <c r="F11" t="inlineStr">
        <is>
          <t>Januari</t>
        </is>
      </c>
      <c r="G11" t="inlineStr">
        <is>
          <t>2026</t>
        </is>
      </c>
      <c r="H11" t="inlineStr">
        <is>
          <t>APPROVED</t>
        </is>
      </c>
      <c r="I11" t="inlineStr">
        <is>
          <t>Done</t>
        </is>
      </c>
      <c r="J11" s="2" t="inlineStr">
        <is>
          <t>TSPI/GGPC/FP/2026/I/003</t>
        </is>
      </c>
      <c r="K11" s="31" t="n">
        <v>927600000</v>
      </c>
      <c r="L11" s="31" t="n">
        <v>850300000</v>
      </c>
      <c r="M11" s="31" t="n">
        <v>102036000</v>
      </c>
      <c r="N11" s="32" t="n">
        <v>120000</v>
      </c>
      <c r="O11" s="30" t="n">
        <v>927600000</v>
      </c>
      <c r="P11" s="34" t="n"/>
    </row>
    <row r="12">
      <c r="A12" t="inlineStr">
        <is>
          <t>0013465570092000</t>
        </is>
      </c>
      <c r="B12" t="inlineStr">
        <is>
          <t>INDOLAMPUNG PERKASA</t>
        </is>
      </c>
      <c r="C12" t="inlineStr">
        <is>
          <t>04 - DPP Nilai Lain</t>
        </is>
      </c>
      <c r="D12" t="inlineStr">
        <is>
          <t>04002600106033870</t>
        </is>
      </c>
      <c r="E12" t="inlineStr">
        <is>
          <t>2026-03-31T00:00:00</t>
        </is>
      </c>
      <c r="F12" t="inlineStr">
        <is>
          <t>Maret</t>
        </is>
      </c>
      <c r="G12" t="inlineStr">
        <is>
          <t>2026</t>
        </is>
      </c>
      <c r="H12" t="inlineStr">
        <is>
          <t>APPROVED</t>
        </is>
      </c>
      <c r="I12" t="inlineStr">
        <is>
          <t>Done</t>
        </is>
      </c>
      <c r="J12" s="2" t="inlineStr">
        <is>
          <t>TSPI/ILP/FP/2025/XII/001</t>
        </is>
      </c>
      <c r="K12" s="31" t="n">
        <v>609750000</v>
      </c>
      <c r="L12" s="31" t="n">
        <v>558937500</v>
      </c>
      <c r="M12" s="31" t="n">
        <v>67072500</v>
      </c>
      <c r="N12" s="32" t="n">
        <v>90000</v>
      </c>
      <c r="O12" s="30" t="n">
        <v>609750000</v>
      </c>
      <c r="P12" s="6" t="n"/>
    </row>
    <row r="13">
      <c r="A13" t="inlineStr">
        <is>
          <t>0011036266092000</t>
        </is>
      </c>
      <c r="B13" t="inlineStr">
        <is>
          <t>GREAT GIANT PINEAPPLE</t>
        </is>
      </c>
      <c r="C13" t="inlineStr">
        <is>
          <t>07 - penyerahan dengan fasilitas PPN atau PPN dan PPnBM tidak dipungut/ditanggung pemerintah</t>
        </is>
      </c>
      <c r="D13" t="inlineStr">
        <is>
          <t>07002600102919073</t>
        </is>
      </c>
      <c r="E13" t="inlineStr">
        <is>
          <t>2026-03-14T00:00:00</t>
        </is>
      </c>
      <c r="F13" t="inlineStr">
        <is>
          <t>Maret</t>
        </is>
      </c>
      <c r="G13" t="inlineStr">
        <is>
          <t>2026</t>
        </is>
      </c>
      <c r="H13" t="inlineStr">
        <is>
          <t>APPROVED</t>
        </is>
      </c>
      <c r="I13" t="inlineStr">
        <is>
          <t>Done</t>
        </is>
      </c>
      <c r="J13" s="2" t="inlineStr">
        <is>
          <t>TSPI/GGPC/FP/2026/III/004</t>
        </is>
      </c>
      <c r="K13" s="31" t="n">
        <v>2111400000</v>
      </c>
      <c r="L13" s="31" t="n">
        <v>1935450000</v>
      </c>
      <c r="M13" s="31" t="n">
        <v>232254000</v>
      </c>
      <c r="N13" s="32" t="n">
        <v>276000</v>
      </c>
      <c r="O13" s="30" t="n">
        <v>2111400000</v>
      </c>
      <c r="P13" s="6" t="n"/>
      <c r="R13" s="6" t="n"/>
    </row>
    <row r="14">
      <c r="A14" t="inlineStr">
        <is>
          <t>0011036266092000</t>
        </is>
      </c>
      <c r="B14" t="inlineStr">
        <is>
          <t>GREAT GIANT PINEAPPLE</t>
        </is>
      </c>
      <c r="C14" t="inlineStr">
        <is>
          <t>07 - penyerahan dengan fasilitas PPN atau PPN dan PPnBM tidak dipungut/ditanggung pemerintah</t>
        </is>
      </c>
      <c r="D14" t="inlineStr">
        <is>
          <t>07002600110884034</t>
        </is>
      </c>
      <c r="E14" t="inlineStr">
        <is>
          <t>2026-03-31T00:00:00</t>
        </is>
      </c>
      <c r="F14" t="inlineStr">
        <is>
          <t>Maret</t>
        </is>
      </c>
      <c r="G14" t="inlineStr">
        <is>
          <t>2026</t>
        </is>
      </c>
      <c r="H14" t="inlineStr">
        <is>
          <t>APPROVED</t>
        </is>
      </c>
      <c r="I14" t="inlineStr">
        <is>
          <t>Done</t>
        </is>
      </c>
      <c r="J14" s="2" t="inlineStr">
        <is>
          <t>TSPI/GGPC/FP/2026/IV/007</t>
        </is>
      </c>
      <c r="K14" s="31" t="n">
        <v>1683000000</v>
      </c>
      <c r="L14" s="31" t="n">
        <v>1542750000</v>
      </c>
      <c r="M14" s="31" t="n">
        <v>185130000</v>
      </c>
      <c r="N14" s="32" t="n">
        <v>220000</v>
      </c>
      <c r="O14" s="30" t="n">
        <v>1683000000</v>
      </c>
    </row>
    <row r="15">
      <c r="A15" t="inlineStr">
        <is>
          <t>0011036266092000</t>
        </is>
      </c>
      <c r="B15" t="inlineStr">
        <is>
          <t>GREAT GIANT PINEAPPLE</t>
        </is>
      </c>
      <c r="C15" t="inlineStr">
        <is>
          <t>07 - penyerahan dengan fasilitas PPN atau PPN dan PPnBM tidak dipungut/ditanggung pemerintah</t>
        </is>
      </c>
      <c r="D15" t="inlineStr">
        <is>
          <t>07002600121078079</t>
        </is>
      </c>
      <c r="E15" t="inlineStr">
        <is>
          <t>2026-04-08T00:00:00</t>
        </is>
      </c>
      <c r="F15" t="inlineStr">
        <is>
          <t>April</t>
        </is>
      </c>
      <c r="G15" t="inlineStr">
        <is>
          <t>2026</t>
        </is>
      </c>
      <c r="H15" t="inlineStr">
        <is>
          <t>APPROVED</t>
        </is>
      </c>
      <c r="I15" t="inlineStr">
        <is>
          <t>Done</t>
        </is>
      </c>
      <c r="J15" s="2" t="inlineStr">
        <is>
          <t>TSPI/GGPC/FP/2026/III/005</t>
        </is>
      </c>
      <c r="K15" s="31" t="n">
        <v>1683000000</v>
      </c>
      <c r="L15" s="31" t="n">
        <v>1542750000</v>
      </c>
      <c r="M15" s="31" t="n">
        <v>185130000</v>
      </c>
      <c r="N15" s="32" t="n">
        <v>220000</v>
      </c>
      <c r="O15" s="30" t="n">
        <v>1683000000</v>
      </c>
    </row>
    <row r="16">
      <c r="A16" t="inlineStr">
        <is>
          <t>0011036266092000</t>
        </is>
      </c>
      <c r="B16" t="inlineStr">
        <is>
          <t>GREAT GIANT PINEAPPLE</t>
        </is>
      </c>
      <c r="C16" t="inlineStr">
        <is>
          <t>07 - penyerahan dengan fasilitas PPN atau PPN dan PPnBM tidak dipungut/ditanggung pemerintah</t>
        </is>
      </c>
      <c r="D16" t="inlineStr">
        <is>
          <t>07012600123474736</t>
        </is>
      </c>
      <c r="E16" t="inlineStr">
        <is>
          <t>2026-04-08T00:00:00</t>
        </is>
      </c>
      <c r="F16" t="inlineStr">
        <is>
          <t>April</t>
        </is>
      </c>
      <c r="G16" t="inlineStr">
        <is>
          <t>2026</t>
        </is>
      </c>
      <c r="H16" t="inlineStr">
        <is>
          <t>APPROVED</t>
        </is>
      </c>
      <c r="J16" s="2" t="inlineStr">
        <is>
          <t>TSPI/GGPC/FP/2026/IV/008</t>
        </is>
      </c>
      <c r="K16" s="31" t="n">
        <v>1684530000</v>
      </c>
      <c r="L16" s="31" t="n">
        <v>1544152500</v>
      </c>
      <c r="M16" s="31" t="n">
        <v>185298300</v>
      </c>
      <c r="N16" s="32" t="n">
        <v>220200</v>
      </c>
      <c r="O16" s="30" t="n">
        <v>1684530000</v>
      </c>
    </row>
    <row r="17">
      <c r="A17" t="inlineStr">
        <is>
          <t>0015508476324000</t>
        </is>
      </c>
      <c r="B17" t="inlineStr">
        <is>
          <t>SILVA INHUTANI LAMPUNG</t>
        </is>
      </c>
      <c r="C17" t="inlineStr">
        <is>
          <t>04 - DPP Nilai Lain</t>
        </is>
      </c>
      <c r="D17" t="inlineStr">
        <is>
          <t>04002600133911480</t>
        </is>
      </c>
      <c r="E17" t="inlineStr">
        <is>
          <t>2026-04-06T00:00:00</t>
        </is>
      </c>
      <c r="F17" t="inlineStr">
        <is>
          <t>April</t>
        </is>
      </c>
      <c r="G17" t="inlineStr">
        <is>
          <t>2026</t>
        </is>
      </c>
      <c r="H17" t="inlineStr">
        <is>
          <t>APPROVED</t>
        </is>
      </c>
      <c r="I17" t="inlineStr">
        <is>
          <t>Done</t>
        </is>
      </c>
      <c r="J17" s="2" t="inlineStr">
        <is>
          <t>TSPI/BW/FP/2026/IV/001</t>
        </is>
      </c>
      <c r="K17" s="31" t="n">
        <v>588790000</v>
      </c>
      <c r="L17" s="31" t="n">
        <v>539724167</v>
      </c>
      <c r="M17" s="31" t="n">
        <v>64766900</v>
      </c>
      <c r="N17" s="32" t="n">
        <v>97000</v>
      </c>
      <c r="O17" s="28" t="n">
        <v>588790000</v>
      </c>
    </row>
    <row r="18">
      <c r="A18" t="inlineStr">
        <is>
          <t>0016425639011000</t>
        </is>
      </c>
      <c r="B18" t="inlineStr">
        <is>
          <t>PARAMITRA MULIALANGGENG</t>
        </is>
      </c>
      <c r="C18" t="inlineStr">
        <is>
          <t>04 - DPP Nilai Lain</t>
        </is>
      </c>
      <c r="D18" t="inlineStr">
        <is>
          <t>04002600133900369</t>
        </is>
      </c>
      <c r="E18" t="inlineStr">
        <is>
          <t>2026-04-06T00:00:00</t>
        </is>
      </c>
      <c r="F18" t="inlineStr">
        <is>
          <t>April</t>
        </is>
      </c>
      <c r="G18" t="inlineStr">
        <is>
          <t>2026</t>
        </is>
      </c>
      <c r="H18" t="inlineStr">
        <is>
          <t>APPROVED</t>
        </is>
      </c>
      <c r="I18" t="inlineStr">
        <is>
          <t>Done</t>
        </is>
      </c>
      <c r="J18" s="2" t="inlineStr">
        <is>
          <t>TSPI/BW/FP/2026/IV/002</t>
        </is>
      </c>
      <c r="K18" s="31" t="n">
        <v>151446500</v>
      </c>
      <c r="L18" s="31" t="n">
        <v>138825958</v>
      </c>
      <c r="M18" s="31" t="n">
        <v>16659115</v>
      </c>
      <c r="N18" s="32" t="n">
        <v>24950</v>
      </c>
      <c r="O18" s="28" t="n">
        <v>151446500</v>
      </c>
    </row>
    <row r="19">
      <c r="A19" t="inlineStr">
        <is>
          <t>0011036266092000</t>
        </is>
      </c>
      <c r="B19" t="inlineStr">
        <is>
          <t>GREAT GIANT PINEAPPLE</t>
        </is>
      </c>
      <c r="C19" t="inlineStr">
        <is>
          <t>07 - penyerahan dengan fasilitas PPN atau PPN dan PPnBM tidak dipungut/ditanggung pemerintah</t>
        </is>
      </c>
      <c r="D19" t="inlineStr">
        <is>
          <t>07002600133596777</t>
        </is>
      </c>
      <c r="E19" t="inlineStr">
        <is>
          <t>2026-04-15T00:00:00</t>
        </is>
      </c>
      <c r="F19" t="inlineStr">
        <is>
          <t>April</t>
        </is>
      </c>
      <c r="G19" t="inlineStr">
        <is>
          <t>2026</t>
        </is>
      </c>
      <c r="H19" t="inlineStr">
        <is>
          <t>APPROVED</t>
        </is>
      </c>
      <c r="I19" t="inlineStr">
        <is>
          <t>Done</t>
        </is>
      </c>
      <c r="J19" s="2" t="inlineStr">
        <is>
          <t>TSPI/GGPC/FP/2026/IV/010</t>
        </is>
      </c>
      <c r="K19" s="31" t="n">
        <v>839970000</v>
      </c>
      <c r="L19" s="31" t="n">
        <v>769972500</v>
      </c>
      <c r="M19" s="31" t="n">
        <v>92396700</v>
      </c>
      <c r="N19" s="32" t="n">
        <v>109800</v>
      </c>
      <c r="O19" s="28" t="n">
        <v>839970000</v>
      </c>
    </row>
    <row r="20">
      <c r="A20" t="inlineStr">
        <is>
          <t>0011036266092000</t>
        </is>
      </c>
      <c r="B20" t="inlineStr">
        <is>
          <t>GREAT GIANT PINEAPPLE</t>
        </is>
      </c>
      <c r="C20" t="inlineStr">
        <is>
          <t>07 - penyerahan dengan fasilitas PPN atau PPN dan PPnBM tidak dipungut/ditanggung pemerintah</t>
        </is>
      </c>
      <c r="D20" t="inlineStr">
        <is>
          <t>07002600132083445</t>
        </is>
      </c>
      <c r="E20" t="inlineStr">
        <is>
          <t>2026-04-14T00:00:00</t>
        </is>
      </c>
      <c r="F20" t="inlineStr">
        <is>
          <t>April</t>
        </is>
      </c>
      <c r="G20" t="inlineStr">
        <is>
          <t>2026</t>
        </is>
      </c>
      <c r="H20" t="inlineStr">
        <is>
          <t>APPROVED</t>
        </is>
      </c>
      <c r="I20" t="inlineStr">
        <is>
          <t>Done</t>
        </is>
      </c>
      <c r="J20" s="2" t="inlineStr">
        <is>
          <t>TSPI/GGPC/FP/2026/IV/009</t>
        </is>
      </c>
      <c r="K20" s="31" t="n">
        <v>1836000000</v>
      </c>
      <c r="L20" s="31" t="n">
        <v>1683000000</v>
      </c>
      <c r="M20" s="31" t="n">
        <v>201960000</v>
      </c>
      <c r="N20" s="32" t="n">
        <v>240000</v>
      </c>
      <c r="O20" s="28" t="n">
        <v>1836000000</v>
      </c>
    </row>
    <row r="21">
      <c r="A21" t="inlineStr">
        <is>
          <t>0011036266092000</t>
        </is>
      </c>
      <c r="B21" t="inlineStr">
        <is>
          <t>GREAT GIANT PINEAPPLE</t>
        </is>
      </c>
      <c r="C21" t="inlineStr">
        <is>
          <t>07 - penyerahan dengan fasilitas PPN atau PPN dan PPnBM tidak dipungut/ditanggung pemerintah</t>
        </is>
      </c>
      <c r="D21" t="inlineStr">
        <is>
          <t>07002600140633485</t>
        </is>
      </c>
      <c r="E21" t="inlineStr">
        <is>
          <t>2026-04-20T00:00:00</t>
        </is>
      </c>
      <c r="F21" t="inlineStr">
        <is>
          <t>April</t>
        </is>
      </c>
      <c r="G21" t="inlineStr">
        <is>
          <t>2026</t>
        </is>
      </c>
      <c r="H21" t="inlineStr">
        <is>
          <t>APPROVED</t>
        </is>
      </c>
      <c r="I21" t="inlineStr">
        <is>
          <t>Done</t>
        </is>
      </c>
      <c r="J21" s="2" t="inlineStr">
        <is>
          <t>TSPI/GGPC/FP/2026/IV/006</t>
        </is>
      </c>
      <c r="K21" s="31" t="n">
        <v>612000000</v>
      </c>
      <c r="L21" s="31" t="n">
        <v>561000000</v>
      </c>
      <c r="M21" s="31" t="n">
        <v>67320000</v>
      </c>
      <c r="N21" s="32" t="n">
        <v>80000</v>
      </c>
      <c r="O21" s="30" t="n">
        <v>612000000</v>
      </c>
    </row>
    <row r="22">
      <c r="A22" t="inlineStr">
        <is>
          <t>0017726399324000</t>
        </is>
      </c>
      <c r="B22" t="inlineStr">
        <is>
          <t>BUDILAMPUNG SEJAHTERA</t>
        </is>
      </c>
      <c r="C22" t="inlineStr">
        <is>
          <t>04 - DPP Nilai Lain</t>
        </is>
      </c>
      <c r="D22" t="inlineStr">
        <is>
          <t>04002600140590115</t>
        </is>
      </c>
      <c r="E22" t="inlineStr">
        <is>
          <t>2026-04-10T00:00:00</t>
        </is>
      </c>
      <c r="F22" t="inlineStr">
        <is>
          <t>April</t>
        </is>
      </c>
      <c r="G22" t="inlineStr">
        <is>
          <t>2026</t>
        </is>
      </c>
      <c r="H22" t="inlineStr">
        <is>
          <t>APPROVED</t>
        </is>
      </c>
      <c r="I22" t="inlineStr">
        <is>
          <t>Done</t>
        </is>
      </c>
      <c r="J22" s="2" t="inlineStr">
        <is>
          <t>TSPI/BW/FP/2026/IV/003</t>
        </is>
      </c>
      <c r="K22" s="31" t="n">
        <v>247352500</v>
      </c>
      <c r="L22" s="31" t="n">
        <v>226739792</v>
      </c>
      <c r="M22" s="31" t="n">
        <v>27208775</v>
      </c>
      <c r="N22" s="32" t="n">
        <v>40750</v>
      </c>
      <c r="O22" s="30" t="n">
        <v>247352500</v>
      </c>
    </row>
    <row r="23">
      <c r="A23" t="inlineStr">
        <is>
          <t>0015428824057000</t>
        </is>
      </c>
      <c r="B23" t="inlineStr">
        <is>
          <t>PEMUKASAKTI MANISINDAH</t>
        </is>
      </c>
      <c r="C23" t="inlineStr">
        <is>
          <t>04 - DPP Nilai Lain</t>
        </is>
      </c>
      <c r="D23" t="inlineStr">
        <is>
          <t>04002600145978195</t>
        </is>
      </c>
      <c r="E23" t="inlineStr">
        <is>
          <t>2026-04-25T00:00:00</t>
        </is>
      </c>
      <c r="F23" t="inlineStr">
        <is>
          <t>April</t>
        </is>
      </c>
      <c r="G23" t="inlineStr">
        <is>
          <t>2026</t>
        </is>
      </c>
      <c r="H23" t="inlineStr">
        <is>
          <t>APPROVED</t>
        </is>
      </c>
      <c r="I23" t="inlineStr">
        <is>
          <t>Done</t>
        </is>
      </c>
      <c r="J23" s="2" t="inlineStr">
        <is>
          <t>TSPI/PSMI/FP/2026/IV/002</t>
        </is>
      </c>
      <c r="K23" s="31" t="n">
        <v>288960000</v>
      </c>
      <c r="L23" s="31" t="n">
        <v>264880000</v>
      </c>
      <c r="M23" s="31" t="n">
        <v>31785600</v>
      </c>
      <c r="N23" s="35" t="n">
        <v>30000</v>
      </c>
      <c r="O23" s="28" t="n">
        <v>288960000</v>
      </c>
    </row>
    <row r="24">
      <c r="A24" t="inlineStr">
        <is>
          <t>0015428824057000</t>
        </is>
      </c>
      <c r="B24" t="inlineStr">
        <is>
          <t>PEMUKASAKTI MANISINDAH</t>
        </is>
      </c>
      <c r="C24" t="inlineStr">
        <is>
          <t>04 - DPP Nilai Lain</t>
        </is>
      </c>
      <c r="D24" t="inlineStr">
        <is>
          <t>04002600144261901</t>
        </is>
      </c>
      <c r="E24" t="inlineStr">
        <is>
          <t>2026-04-23T00:00:00</t>
        </is>
      </c>
      <c r="F24" t="inlineStr">
        <is>
          <t>April</t>
        </is>
      </c>
      <c r="G24" t="inlineStr">
        <is>
          <t>2026</t>
        </is>
      </c>
      <c r="H24" t="inlineStr">
        <is>
          <t>APPROVED</t>
        </is>
      </c>
      <c r="I24" t="inlineStr">
        <is>
          <t>Done</t>
        </is>
      </c>
      <c r="J24" s="2" t="inlineStr">
        <is>
          <t>TSPI/PSMI/FP/2026/IV/003</t>
        </is>
      </c>
      <c r="K24" s="31" t="n">
        <v>288960000</v>
      </c>
      <c r="L24" s="31" t="n">
        <v>264880000</v>
      </c>
      <c r="M24" s="31" t="n">
        <v>31785600</v>
      </c>
      <c r="N24" s="35" t="n">
        <v>30000</v>
      </c>
      <c r="O24" s="28" t="n">
        <v>288960000</v>
      </c>
    </row>
    <row r="25">
      <c r="A25" t="inlineStr">
        <is>
          <t>0015428824057000</t>
        </is>
      </c>
      <c r="B25" t="inlineStr">
        <is>
          <t>PEMUKASAKTI MANISINDAH</t>
        </is>
      </c>
      <c r="C25" t="inlineStr">
        <is>
          <t>04 - DPP Nilai Lain</t>
        </is>
      </c>
      <c r="D25" t="inlineStr">
        <is>
          <t>04002600141577202</t>
        </is>
      </c>
      <c r="E25" t="inlineStr">
        <is>
          <t>2026-04-21T00:00:00</t>
        </is>
      </c>
      <c r="F25" t="inlineStr">
        <is>
          <t>April</t>
        </is>
      </c>
      <c r="G25" t="inlineStr">
        <is>
          <t>2026</t>
        </is>
      </c>
      <c r="H25" t="inlineStr">
        <is>
          <t>APPROVED</t>
        </is>
      </c>
      <c r="I25" t="inlineStr">
        <is>
          <t>Done</t>
        </is>
      </c>
      <c r="J25" s="2" t="inlineStr">
        <is>
          <t>TSPI/PSMI/FP/2026/IV/001</t>
        </is>
      </c>
      <c r="K25" s="31" t="n">
        <v>963200000</v>
      </c>
      <c r="L25" s="31" t="n">
        <v>882933333</v>
      </c>
      <c r="M25" s="31" t="n">
        <v>105952000</v>
      </c>
      <c r="N25" s="35" t="n">
        <v>100000</v>
      </c>
      <c r="O25" s="28" t="n">
        <v>963200000</v>
      </c>
    </row>
    <row r="26">
      <c r="A26" t="inlineStr">
        <is>
          <t>0010006393092000</t>
        </is>
      </c>
      <c r="B26" t="inlineStr">
        <is>
          <t>GUNUNG MADU PLANTATIONS</t>
        </is>
      </c>
      <c r="C26" t="inlineStr">
        <is>
          <t>04 - DPP Nilai Lain</t>
        </is>
      </c>
      <c r="D26" t="inlineStr">
        <is>
          <t>04002600146190573</t>
        </is>
      </c>
      <c r="E26" t="inlineStr">
        <is>
          <t>2026-04-25T00:00:00</t>
        </is>
      </c>
      <c r="F26" t="inlineStr">
        <is>
          <t>April</t>
        </is>
      </c>
      <c r="G26" t="inlineStr">
        <is>
          <t>2026</t>
        </is>
      </c>
      <c r="H26" t="inlineStr">
        <is>
          <t>APPROVED</t>
        </is>
      </c>
      <c r="I26" t="inlineStr">
        <is>
          <t>Done</t>
        </is>
      </c>
      <c r="J26" s="2" t="inlineStr">
        <is>
          <t>TSPI/GMP/FP/2026/IV/001</t>
        </is>
      </c>
      <c r="K26" s="31" t="n">
        <v>980000000</v>
      </c>
      <c r="L26" s="31" t="n">
        <v>898333333</v>
      </c>
      <c r="M26" s="31" t="n">
        <v>107800000</v>
      </c>
      <c r="N26" s="35" t="n">
        <v>100000</v>
      </c>
      <c r="O26" s="28" t="n">
        <v>980000000</v>
      </c>
    </row>
    <row r="27">
      <c r="A27" t="inlineStr">
        <is>
          <t>0015428824057000</t>
        </is>
      </c>
      <c r="B27" t="inlineStr">
        <is>
          <t>PEMUKASAKTI MANISINDAH</t>
        </is>
      </c>
      <c r="C27" t="inlineStr">
        <is>
          <t>04 - DPP Nilai Lain</t>
        </is>
      </c>
      <c r="D27" t="inlineStr">
        <is>
          <t>04002600148582220</t>
        </is>
      </c>
      <c r="E27" t="inlineStr">
        <is>
          <t>2026-04-28T00:00:00</t>
        </is>
      </c>
      <c r="F27" t="inlineStr">
        <is>
          <t>April</t>
        </is>
      </c>
      <c r="G27" t="inlineStr">
        <is>
          <t>2026</t>
        </is>
      </c>
      <c r="H27" t="inlineStr">
        <is>
          <t>APPROVED</t>
        </is>
      </c>
      <c r="I27" t="inlineStr">
        <is>
          <t>Done</t>
        </is>
      </c>
      <c r="J27" s="2" t="inlineStr">
        <is>
          <t>TSPI/PSMI/FP/2026/IV/005</t>
        </is>
      </c>
      <c r="K27" s="31" t="n">
        <v>1059520000</v>
      </c>
      <c r="L27" s="31" t="n">
        <v>971226667</v>
      </c>
      <c r="M27" s="31" t="n">
        <v>116547200</v>
      </c>
      <c r="N27" s="35" t="n">
        <v>110000</v>
      </c>
      <c r="O27" s="28" t="n">
        <v>1059520000</v>
      </c>
    </row>
    <row r="28">
      <c r="A28" t="inlineStr">
        <is>
          <t>0015428824057000</t>
        </is>
      </c>
      <c r="B28" t="inlineStr">
        <is>
          <t>PEMUKASAKTI MANISINDAH</t>
        </is>
      </c>
      <c r="C28" t="inlineStr">
        <is>
          <t>04 - DPP Nilai Lain</t>
        </is>
      </c>
      <c r="D28" t="inlineStr">
        <is>
          <t>04002600147507089</t>
        </is>
      </c>
      <c r="E28" t="inlineStr">
        <is>
          <t>2026-04-27T00:00:00</t>
        </is>
      </c>
      <c r="F28" t="inlineStr">
        <is>
          <t>April</t>
        </is>
      </c>
      <c r="G28" t="inlineStr">
        <is>
          <t>2026</t>
        </is>
      </c>
      <c r="H28" t="inlineStr">
        <is>
          <t>APPROVED</t>
        </is>
      </c>
      <c r="I28" t="inlineStr">
        <is>
          <t>Done</t>
        </is>
      </c>
      <c r="J28" s="2" t="inlineStr">
        <is>
          <t>TSPI/PSMI/FP/2026/IV/004</t>
        </is>
      </c>
      <c r="K28" s="31" t="n">
        <v>866880000</v>
      </c>
      <c r="L28" s="31" t="n">
        <v>794640000</v>
      </c>
      <c r="M28" s="31" t="n">
        <v>95356800</v>
      </c>
      <c r="N28" s="35" t="n">
        <v>90000</v>
      </c>
      <c r="O28" s="28" t="n">
        <v>866880000</v>
      </c>
    </row>
    <row r="29">
      <c r="A29" t="inlineStr">
        <is>
          <t>0011036266092000</t>
        </is>
      </c>
      <c r="B29" t="inlineStr">
        <is>
          <t>GREAT GIANT PINEAPPLE</t>
        </is>
      </c>
      <c r="C29" t="inlineStr">
        <is>
          <t>07 - penyerahan dengan fasilitas PPN atau PPN dan PPnBM tidak dipungut/ditanggung pemerintah</t>
        </is>
      </c>
      <c r="D29" t="inlineStr">
        <is>
          <t>07002600152851361</t>
        </is>
      </c>
      <c r="E29" t="inlineStr">
        <is>
          <t>2026-04-30T00:00:00</t>
        </is>
      </c>
      <c r="F29" t="inlineStr">
        <is>
          <t>April</t>
        </is>
      </c>
      <c r="G29" t="inlineStr">
        <is>
          <t>2026</t>
        </is>
      </c>
      <c r="H29" t="inlineStr">
        <is>
          <t>APPROVED</t>
        </is>
      </c>
      <c r="I29" t="inlineStr">
        <is>
          <t>Done</t>
        </is>
      </c>
      <c r="J29" s="2" t="inlineStr">
        <is>
          <t>TSPI/GGPC/FP/2026/IV/013</t>
        </is>
      </c>
      <c r="K29" s="31" t="n">
        <v>360000000</v>
      </c>
      <c r="L29" s="31" t="n">
        <v>330000000</v>
      </c>
      <c r="M29" s="31" t="n">
        <v>39600000</v>
      </c>
      <c r="N29" s="35" t="n">
        <v>40000</v>
      </c>
      <c r="O29" s="28" t="n">
        <v>360000000</v>
      </c>
    </row>
    <row r="30">
      <c r="A30" t="inlineStr">
        <is>
          <t>0010006393092000</t>
        </is>
      </c>
      <c r="B30" t="inlineStr">
        <is>
          <t>GUNUNG MADU PLANTATIONS</t>
        </is>
      </c>
      <c r="C30" t="inlineStr">
        <is>
          <t>04 - DPP Nilai Lain</t>
        </is>
      </c>
      <c r="D30" t="inlineStr">
        <is>
          <t>04012600150311551</t>
        </is>
      </c>
      <c r="E30" t="inlineStr">
        <is>
          <t>2026-04-29T00:00:00</t>
        </is>
      </c>
      <c r="F30" t="inlineStr">
        <is>
          <t>April</t>
        </is>
      </c>
      <c r="G30" t="inlineStr">
        <is>
          <t>2026</t>
        </is>
      </c>
      <c r="H30" t="inlineStr">
        <is>
          <t>APPROVED</t>
        </is>
      </c>
      <c r="J30" s="2" t="inlineStr">
        <is>
          <t>TSPI/GMP/FP/2026/IV/002</t>
        </is>
      </c>
      <c r="K30" s="31" t="n">
        <v>907499500</v>
      </c>
      <c r="L30" s="31" t="n">
        <v>831874542</v>
      </c>
      <c r="M30" s="31" t="n">
        <v>99824945</v>
      </c>
      <c r="N30" s="35" t="n">
        <v>83950</v>
      </c>
      <c r="O30" s="28" t="n">
        <v>907499500</v>
      </c>
    </row>
    <row r="31">
      <c r="A31" t="inlineStr">
        <is>
          <t>0011036266092000</t>
        </is>
      </c>
      <c r="B31" t="inlineStr">
        <is>
          <t>GREAT GIANT PINEAPPLE</t>
        </is>
      </c>
      <c r="C31" t="inlineStr">
        <is>
          <t>07 - penyerahan dengan fasilitas PPN atau PPN dan PPnBM tidak dipungut/ditanggung pemerintah</t>
        </is>
      </c>
      <c r="D31" t="inlineStr">
        <is>
          <t>07032600149014057</t>
        </is>
      </c>
      <c r="E31" t="inlineStr">
        <is>
          <t>2026-04-28T00:00:00</t>
        </is>
      </c>
      <c r="F31" t="inlineStr">
        <is>
          <t>April</t>
        </is>
      </c>
      <c r="G31" t="inlineStr">
        <is>
          <t>2026</t>
        </is>
      </c>
      <c r="H31" t="inlineStr">
        <is>
          <t>APPROVED</t>
        </is>
      </c>
      <c r="J31" s="2" t="inlineStr">
        <is>
          <t>TSPI/GGPC/FP/2026/IV/011</t>
        </is>
      </c>
      <c r="K31" s="31" t="n">
        <v>720000000</v>
      </c>
      <c r="L31" s="31" t="n">
        <v>660000000</v>
      </c>
      <c r="M31" s="31" t="n">
        <v>79200000</v>
      </c>
      <c r="N31" s="35" t="n">
        <v>80000</v>
      </c>
      <c r="O31" s="28" t="n">
        <v>720000000</v>
      </c>
    </row>
    <row r="32">
      <c r="A32" t="inlineStr">
        <is>
          <t>0011036266092000</t>
        </is>
      </c>
      <c r="B32" t="inlineStr">
        <is>
          <t>GREAT GIANT PINEAPPLE</t>
        </is>
      </c>
      <c r="C32" t="inlineStr">
        <is>
          <t>07 - penyerahan dengan fasilitas PPN atau PPN dan PPnBM tidak dipungut/ditanggung pemerintah</t>
        </is>
      </c>
      <c r="D32" t="inlineStr">
        <is>
          <t>07002600150337129</t>
        </is>
      </c>
      <c r="E32" t="inlineStr">
        <is>
          <t>2026-04-27T00:00:00</t>
        </is>
      </c>
      <c r="F32" t="inlineStr">
        <is>
          <t>April</t>
        </is>
      </c>
      <c r="G32" t="inlineStr">
        <is>
          <t>2026</t>
        </is>
      </c>
      <c r="H32" t="inlineStr">
        <is>
          <t>APPROVED</t>
        </is>
      </c>
      <c r="I32" t="inlineStr">
        <is>
          <t>Done</t>
        </is>
      </c>
      <c r="J32" s="2" t="inlineStr">
        <is>
          <t>TSPI/GGPC/FP/2026/IV/012</t>
        </is>
      </c>
      <c r="K32" s="31" t="n">
        <v>720000000</v>
      </c>
      <c r="L32" s="31" t="n">
        <v>660000000</v>
      </c>
      <c r="M32" s="31" t="n">
        <v>79200000</v>
      </c>
      <c r="N32" s="35" t="n">
        <v>80000</v>
      </c>
      <c r="O32" s="28" t="n">
        <v>720000000</v>
      </c>
    </row>
    <row r="33">
      <c r="A33" t="inlineStr">
        <is>
          <t>0015428824057000</t>
        </is>
      </c>
      <c r="B33" t="inlineStr">
        <is>
          <t>PEMUKASAKTI MANISINDAH</t>
        </is>
      </c>
      <c r="C33" t="inlineStr">
        <is>
          <t>04 - DPP Nilai Lain</t>
        </is>
      </c>
      <c r="D33" t="inlineStr">
        <is>
          <t>04012600149964674</t>
        </is>
      </c>
      <c r="E33" t="inlineStr">
        <is>
          <t>2026-04-29T00:00:00</t>
        </is>
      </c>
      <c r="F33" t="inlineStr">
        <is>
          <t>April</t>
        </is>
      </c>
      <c r="G33" t="inlineStr">
        <is>
          <t>2026</t>
        </is>
      </c>
      <c r="H33" t="inlineStr">
        <is>
          <t>APPROVED</t>
        </is>
      </c>
      <c r="J33" s="2" t="inlineStr">
        <is>
          <t>TSPI/PSMI/FP/2026/IV/006</t>
        </is>
      </c>
      <c r="K33" s="31" t="n">
        <v>385280000</v>
      </c>
      <c r="L33" s="31" t="n">
        <v>353173333</v>
      </c>
      <c r="M33" s="31" t="n">
        <v>42380800</v>
      </c>
      <c r="N33" s="35" t="n">
        <v>40000</v>
      </c>
      <c r="O33" s="28" t="n">
        <v>385280000</v>
      </c>
    </row>
    <row r="34">
      <c r="A34" t="inlineStr">
        <is>
          <t>0011036266092000</t>
        </is>
      </c>
      <c r="B34" t="inlineStr">
        <is>
          <t>GREAT GIANT PINEAPPLE</t>
        </is>
      </c>
      <c r="C34" t="inlineStr">
        <is>
          <t>07 - penyerahan dengan fasilitas PPN atau PPN dan PPnBM tidak dipungut/ditanggung pemerintah</t>
        </is>
      </c>
      <c r="D34" t="inlineStr">
        <is>
          <t>07002600157439226</t>
        </is>
      </c>
      <c r="E34" t="inlineStr">
        <is>
          <t>2026-05-05T00:00:00</t>
        </is>
      </c>
      <c r="F34" t="inlineStr">
        <is>
          <t>Mei</t>
        </is>
      </c>
      <c r="G34" t="inlineStr">
        <is>
          <t>2026</t>
        </is>
      </c>
      <c r="H34" t="inlineStr">
        <is>
          <t>APPROVED</t>
        </is>
      </c>
      <c r="I34" t="inlineStr">
        <is>
          <t>Done</t>
        </is>
      </c>
      <c r="J34" s="2" t="inlineStr">
        <is>
          <t>TSPI/GGPC/FP/2026/V/015</t>
        </is>
      </c>
      <c r="K34" s="31" t="n">
        <v>1080000000</v>
      </c>
      <c r="L34" s="31" t="n">
        <v>990000000</v>
      </c>
      <c r="M34" s="31" t="n">
        <v>118800000</v>
      </c>
      <c r="N34" s="35" t="n">
        <v>120000</v>
      </c>
      <c r="O34" s="28" t="n">
        <v>1080000000</v>
      </c>
    </row>
    <row r="35">
      <c r="A35" t="inlineStr">
        <is>
          <t>0010006393092000</t>
        </is>
      </c>
      <c r="B35" t="inlineStr">
        <is>
          <t>GUNUNG MADU PLANTATIONS</t>
        </is>
      </c>
      <c r="C35" t="inlineStr">
        <is>
          <t>04 - DPP Nilai Lain</t>
        </is>
      </c>
      <c r="D35" t="inlineStr">
        <is>
          <t>04002600155241849</t>
        </is>
      </c>
      <c r="E35" t="inlineStr">
        <is>
          <t>2026-05-04T00:00:00</t>
        </is>
      </c>
      <c r="F35" t="inlineStr">
        <is>
          <t>Mei</t>
        </is>
      </c>
      <c r="G35" t="inlineStr">
        <is>
          <t>2026</t>
        </is>
      </c>
      <c r="H35" t="inlineStr">
        <is>
          <t>APPROVED</t>
        </is>
      </c>
      <c r="I35" t="inlineStr">
        <is>
          <t>Done</t>
        </is>
      </c>
      <c r="J35" s="2" t="inlineStr">
        <is>
          <t>TSPI/GMP/FP/2026/V/003</t>
        </is>
      </c>
      <c r="K35" s="31" t="n">
        <v>1351250000</v>
      </c>
      <c r="L35" s="31" t="n">
        <v>1238645833</v>
      </c>
      <c r="M35" s="31" t="n">
        <v>148637500</v>
      </c>
      <c r="N35" s="35" t="n">
        <v>125000</v>
      </c>
      <c r="O35" s="28" t="n">
        <v>1351250000</v>
      </c>
    </row>
    <row r="36">
      <c r="A36" t="inlineStr">
        <is>
          <t>0011036266092000</t>
        </is>
      </c>
      <c r="B36" t="inlineStr">
        <is>
          <t>GREAT GIANT PINEAPPLE</t>
        </is>
      </c>
      <c r="C36" t="inlineStr">
        <is>
          <t>07 - penyerahan dengan fasilitas PPN atau PPN dan PPnBM tidak dipungut/ditanggung pemerintah</t>
        </is>
      </c>
      <c r="D36" t="inlineStr">
        <is>
          <t>07002600152867516</t>
        </is>
      </c>
      <c r="E36" t="inlineStr">
        <is>
          <t>2026-05-02T00:00:00</t>
        </is>
      </c>
      <c r="F36" t="inlineStr">
        <is>
          <t>Mei</t>
        </is>
      </c>
      <c r="G36" t="inlineStr">
        <is>
          <t>2026</t>
        </is>
      </c>
      <c r="H36" t="inlineStr">
        <is>
          <t>APPROVED</t>
        </is>
      </c>
      <c r="I36" t="inlineStr">
        <is>
          <t>Done</t>
        </is>
      </c>
      <c r="J36" s="2" t="inlineStr">
        <is>
          <t>TSPI/GGPC/FP/2026/V/014</t>
        </is>
      </c>
      <c r="K36" s="31" t="n">
        <v>1800000000</v>
      </c>
      <c r="L36" s="31" t="n">
        <v>1650000000</v>
      </c>
      <c r="M36" s="31" t="n">
        <v>198000000</v>
      </c>
      <c r="N36" s="35" t="n">
        <v>200000</v>
      </c>
      <c r="O36" s="28" t="n">
        <v>1800000000</v>
      </c>
    </row>
    <row r="37">
      <c r="A37" t="inlineStr">
        <is>
          <t>0010006393092000</t>
        </is>
      </c>
      <c r="B37" t="inlineStr">
        <is>
          <t>GUNUNG MADU PLANTATIONS</t>
        </is>
      </c>
      <c r="C37" t="inlineStr">
        <is>
          <t>04 - DPP Nilai Lain</t>
        </is>
      </c>
      <c r="D37" t="inlineStr">
        <is>
          <t>04002600160413856</t>
        </is>
      </c>
      <c r="E37" t="inlineStr">
        <is>
          <t>2026-05-06T00:00:00</t>
        </is>
      </c>
      <c r="F37" t="inlineStr">
        <is>
          <t>Mei</t>
        </is>
      </c>
      <c r="G37" t="inlineStr">
        <is>
          <t>2026</t>
        </is>
      </c>
      <c r="H37" t="inlineStr">
        <is>
          <t>APPROVED</t>
        </is>
      </c>
      <c r="I37" t="inlineStr">
        <is>
          <t>Done</t>
        </is>
      </c>
      <c r="J37" s="2" t="inlineStr">
        <is>
          <t>TSPI/GMP/FP/2026/V/004</t>
        </is>
      </c>
      <c r="K37" s="31" t="n">
        <v>2831139000</v>
      </c>
      <c r="L37" s="31" t="n">
        <v>2595210750</v>
      </c>
      <c r="M37" s="31" t="n">
        <v>311425290</v>
      </c>
      <c r="N37" s="32" t="n">
        <v>261900</v>
      </c>
      <c r="O37" s="30" t="n">
        <v>2831139000</v>
      </c>
    </row>
    <row r="38">
      <c r="A38" t="inlineStr">
        <is>
          <t>0011036266092000</t>
        </is>
      </c>
      <c r="B38" t="inlineStr">
        <is>
          <t>GREAT GIANT PINEAPPLE</t>
        </is>
      </c>
      <c r="C38" t="inlineStr">
        <is>
          <t>07 - penyerahan dengan fasilitas PPN atau PPN dan PPnBM tidak dipungut/ditanggung pemerintah</t>
        </is>
      </c>
      <c r="D38" t="inlineStr">
        <is>
          <t>07002600163817613</t>
        </is>
      </c>
      <c r="E38" t="inlineStr">
        <is>
          <t>2026-05-07T00:00:00</t>
        </is>
      </c>
      <c r="F38" t="inlineStr">
        <is>
          <t>Mei</t>
        </is>
      </c>
      <c r="G38" t="inlineStr">
        <is>
          <t>2026</t>
        </is>
      </c>
      <c r="H38" t="inlineStr">
        <is>
          <t>APPROVED</t>
        </is>
      </c>
      <c r="I38" t="inlineStr">
        <is>
          <t>Done</t>
        </is>
      </c>
      <c r="J38" s="2" t="inlineStr">
        <is>
          <t>TSPI/GGPC/FP/2026/V/016</t>
        </is>
      </c>
      <c r="K38" s="31" t="n">
        <v>1440000000</v>
      </c>
      <c r="L38" s="31" t="n">
        <v>1320000000</v>
      </c>
      <c r="M38" s="31" t="n">
        <v>158400000</v>
      </c>
      <c r="N38" s="32" t="n">
        <v>160000</v>
      </c>
      <c r="O38" s="30" t="n">
        <v>1440000000</v>
      </c>
    </row>
    <row r="39">
      <c r="A39" t="inlineStr">
        <is>
          <t>0011036266092000</t>
        </is>
      </c>
      <c r="B39" t="inlineStr">
        <is>
          <t>GREAT GIANT PINEAPPLE</t>
        </is>
      </c>
      <c r="C39" t="inlineStr">
        <is>
          <t>07 - penyerahan dengan fasilitas PPN atau PPN dan PPnBM tidak dipungut/ditanggung pemerintah</t>
        </is>
      </c>
      <c r="D39" t="inlineStr">
        <is>
          <t>07002600167907611</t>
        </is>
      </c>
      <c r="E39" t="inlineStr">
        <is>
          <t>2026-05-11T00:00:00</t>
        </is>
      </c>
      <c r="F39" t="inlineStr">
        <is>
          <t>Mei</t>
        </is>
      </c>
      <c r="G39" t="inlineStr">
        <is>
          <t>2026</t>
        </is>
      </c>
      <c r="H39" t="inlineStr">
        <is>
          <t>APPROVED</t>
        </is>
      </c>
      <c r="I39" t="inlineStr">
        <is>
          <t>Done</t>
        </is>
      </c>
      <c r="J39" s="2" t="inlineStr">
        <is>
          <t>TSPI/GGPC/FP/2026/V/017</t>
        </is>
      </c>
      <c r="K39" s="31" t="n">
        <v>1386000000</v>
      </c>
      <c r="L39" s="31" t="n">
        <v>1270500000</v>
      </c>
      <c r="M39" s="31" t="n">
        <v>152460000</v>
      </c>
      <c r="N39" s="32" t="n">
        <v>154000</v>
      </c>
      <c r="O39" s="28" t="n">
        <v>1386000000</v>
      </c>
    </row>
    <row r="40">
      <c r="A40" t="inlineStr">
        <is>
          <t>0010006393092000</t>
        </is>
      </c>
      <c r="B40" t="inlineStr">
        <is>
          <t>GUNUNG MADU PLANTATIONS</t>
        </is>
      </c>
      <c r="C40" t="inlineStr">
        <is>
          <t>04 - DPP Nilai Lain</t>
        </is>
      </c>
      <c r="D40" t="inlineStr">
        <is>
          <t>04002600166862079</t>
        </is>
      </c>
      <c r="E40" t="inlineStr">
        <is>
          <t>2026-05-09T00:00:00</t>
        </is>
      </c>
      <c r="F40" t="inlineStr">
        <is>
          <t>Mei</t>
        </is>
      </c>
      <c r="G40" t="inlineStr">
        <is>
          <t>2026</t>
        </is>
      </c>
      <c r="H40" t="inlineStr">
        <is>
          <t>APPROVED</t>
        </is>
      </c>
      <c r="I40" t="inlineStr">
        <is>
          <t>Done</t>
        </is>
      </c>
      <c r="J40" s="2" t="inlineStr">
        <is>
          <t>TSPI/GMP/FP/2026/V/005</t>
        </is>
      </c>
      <c r="K40" s="31" t="n">
        <v>2551160000</v>
      </c>
      <c r="L40" s="31" t="n">
        <v>2338563333</v>
      </c>
      <c r="M40" s="31" t="n">
        <v>280627600</v>
      </c>
      <c r="N40" s="32" t="n">
        <v>236000</v>
      </c>
      <c r="O40" s="28" t="n">
        <v>2551160000</v>
      </c>
    </row>
  </sheetData>
  <autoFilter ref="A1:R40"/>
  <conditionalFormatting sqref="D11">
    <cfRule type="duplicateValues" priority="6" dxfId="0"/>
  </conditionalFormatting>
  <conditionalFormatting sqref="D21:D22">
    <cfRule type="duplicateValues" priority="5" dxfId="0"/>
  </conditionalFormatting>
  <conditionalFormatting sqref="D23:D25">
    <cfRule type="duplicateValues" priority="4" dxfId="0"/>
  </conditionalFormatting>
  <conditionalFormatting sqref="D27:D28">
    <cfRule type="duplicateValues" priority="3" dxfId="0"/>
  </conditionalFormatting>
  <conditionalFormatting sqref="D29:D33">
    <cfRule type="duplicateValues" priority="2" dxfId="0"/>
  </conditionalFormatting>
  <conditionalFormatting sqref="D39:D40">
    <cfRule type="duplicateValues" priority="1" dxfId="0"/>
  </conditionalFormatting>
  <pageMargins left="0.7" right="0.7" top="0.75" bottom="0.75" header="0.3" footer="0.3"/>
  <pageSetup orientation="portrait" horizontalDpi="360" verticalDpi="360"/>
</worksheet>
</file>

<file path=xl/worksheets/sheet2.xml><?xml version="1.0" encoding="utf-8"?>
<worksheet xmlns="http://schemas.openxmlformats.org/spreadsheetml/2006/main">
  <sheetPr filterMode="1">
    <outlinePr summaryBelow="1" summaryRight="1"/>
    <pageSetUpPr/>
  </sheetPr>
  <dimension ref="A1:U59"/>
  <sheetViews>
    <sheetView tabSelected="1" topLeftCell="F25" zoomScale="84" zoomScaleNormal="84" workbookViewId="0">
      <selection activeCell="T63" sqref="T63"/>
    </sheetView>
  </sheetViews>
  <sheetFormatPr baseColWidth="8" defaultColWidth="8.625" defaultRowHeight="15.75"/>
  <cols>
    <col width="17.125" bestFit="1" customWidth="1" min="1" max="1"/>
    <col width="39.375" customWidth="1" min="2" max="2"/>
    <col width="19.625" customWidth="1" min="3" max="3"/>
    <col width="18.375" customWidth="1" min="4" max="4"/>
    <col width="9" customWidth="1" min="5" max="8"/>
    <col width="13.375" bestFit="1" customWidth="1" min="9" max="9"/>
    <col width="32.875" customWidth="1" style="2" min="10" max="10"/>
    <col width="29.625" customWidth="1" style="31" min="11" max="11"/>
    <col width="21.125" customWidth="1" style="31" min="12" max="12"/>
    <col width="14.125" bestFit="1" customWidth="1" style="31" min="13" max="13"/>
    <col width="9.125" bestFit="1" customWidth="1" style="16" min="14" max="14"/>
    <col width="22.625" customWidth="1" style="16" min="15" max="15"/>
    <col width="11.5" customWidth="1" style="16" min="16" max="16"/>
    <col width="15.125" bestFit="1" customWidth="1" style="16" min="17" max="17"/>
    <col width="18.875" customWidth="1" style="16" min="18" max="18"/>
    <col width="27.875" customWidth="1" style="16" min="19" max="19"/>
    <col width="20" customWidth="1" style="36" min="20" max="20"/>
    <col width="13.625" bestFit="1" customWidth="1" style="14" min="21" max="21"/>
  </cols>
  <sheetData>
    <row r="1">
      <c r="A1" t="inlineStr">
        <is>
          <t>NPWP Penjual</t>
        </is>
      </c>
      <c r="B1" t="inlineStr">
        <is>
          <t>Nama Penjual</t>
        </is>
      </c>
      <c r="C1" t="inlineStr">
        <is>
          <t>Nomor Faktur Pajak</t>
        </is>
      </c>
      <c r="D1" t="inlineStr">
        <is>
          <t>Tanggal Faktur Pajak</t>
        </is>
      </c>
      <c r="E1" t="inlineStr">
        <is>
          <t>Masa Pajak</t>
        </is>
      </c>
      <c r="F1" t="inlineStr">
        <is>
          <t>Tahun</t>
        </is>
      </c>
      <c r="G1" t="inlineStr">
        <is>
          <t>Masa Pajak Pengkreditkan</t>
        </is>
      </c>
      <c r="H1" t="inlineStr">
        <is>
          <t>Tahun Pajak Pengkreditan</t>
        </is>
      </c>
      <c r="I1" t="inlineStr">
        <is>
          <t>Status Faktur</t>
        </is>
      </c>
      <c r="J1" s="23" t="inlineStr">
        <is>
          <t>NO. INV</t>
        </is>
      </c>
      <c r="K1" s="31" t="inlineStr">
        <is>
          <t>Harga Jual/Penggantian/DPP</t>
        </is>
      </c>
      <c r="L1" s="31" t="inlineStr">
        <is>
          <t>DPP Nilai Lain/DPP</t>
        </is>
      </c>
      <c r="M1" s="31" t="inlineStr">
        <is>
          <t>PPN</t>
        </is>
      </c>
      <c r="N1" s="16" t="inlineStr">
        <is>
          <t>QTY</t>
        </is>
      </c>
      <c r="O1" s="8" t="inlineStr">
        <is>
          <t>PUPUK</t>
        </is>
      </c>
      <c r="P1" s="16" t="inlineStr">
        <is>
          <t>QTY</t>
        </is>
      </c>
      <c r="Q1" s="8" t="inlineStr">
        <is>
          <t>JASA AUDIT</t>
        </is>
      </c>
      <c r="R1" s="16" t="inlineStr">
        <is>
          <t>QTY</t>
        </is>
      </c>
      <c r="S1" s="8" t="inlineStr">
        <is>
          <t>ONGKOS ANGKUT</t>
        </is>
      </c>
      <c r="T1" s="37" t="inlineStr">
        <is>
          <t>Jumlah Penjabaran</t>
        </is>
      </c>
      <c r="U1" s="10" t="inlineStr">
        <is>
          <t>Selisih</t>
        </is>
      </c>
    </row>
    <row r="2">
      <c r="A2" t="inlineStr">
        <is>
          <t>0010000727051000</t>
        </is>
      </c>
      <c r="B2" t="inlineStr">
        <is>
          <t>PUPUK KALIMANTAN TIMUR</t>
        </is>
      </c>
      <c r="C2" t="inlineStr">
        <is>
          <t>04002600004922279</t>
        </is>
      </c>
      <c r="D2" t="inlineStr">
        <is>
          <t>2026-01-10T00:00:00</t>
        </is>
      </c>
      <c r="E2" t="inlineStr">
        <is>
          <t>Januari</t>
        </is>
      </c>
      <c r="F2" t="inlineStr">
        <is>
          <t>2026</t>
        </is>
      </c>
      <c r="I2" t="inlineStr">
        <is>
          <t>APPROVED</t>
        </is>
      </c>
      <c r="J2" s="2" t="inlineStr">
        <is>
          <t>F/TSPI/2026/I/018</t>
        </is>
      </c>
      <c r="K2" s="31" t="n">
        <v>1977300000</v>
      </c>
      <c r="L2" s="31" t="n">
        <v>1812525000</v>
      </c>
      <c r="M2" s="31" t="n">
        <v>217503000</v>
      </c>
      <c r="N2" s="38" t="n">
        <v>6591000</v>
      </c>
      <c r="O2" s="39" t="n">
        <v>1977300000</v>
      </c>
      <c r="T2" s="36">
        <f>O2+Q2+S2</f>
        <v/>
      </c>
      <c r="U2" s="35" t="inlineStr">
        <is>
          <t>-</t>
        </is>
      </c>
    </row>
    <row r="3">
      <c r="A3" t="inlineStr">
        <is>
          <t>0015259294518000</t>
        </is>
      </c>
      <c r="B3" t="inlineStr">
        <is>
          <t>SIBA SURYA</t>
        </is>
      </c>
      <c r="C3" t="inlineStr">
        <is>
          <t>08002600004624024</t>
        </is>
      </c>
      <c r="D3" t="inlineStr">
        <is>
          <t>2026-01-12T00:00:00</t>
        </is>
      </c>
      <c r="E3" t="inlineStr">
        <is>
          <t>Januari</t>
        </is>
      </c>
      <c r="F3" t="inlineStr">
        <is>
          <t>2026</t>
        </is>
      </c>
      <c r="I3" t="inlineStr">
        <is>
          <t>APPROVED</t>
        </is>
      </c>
      <c r="K3" s="31" t="n">
        <v>23000000</v>
      </c>
      <c r="L3" s="31" t="n">
        <v>21083333</v>
      </c>
      <c r="M3" s="31" t="n">
        <v>2530000</v>
      </c>
      <c r="R3" s="38" t="n">
        <v>575</v>
      </c>
      <c r="S3" s="39" t="n">
        <v>23000000</v>
      </c>
      <c r="T3" s="36">
        <f>O3+Q3+S3</f>
        <v/>
      </c>
      <c r="U3" s="35" t="inlineStr">
        <is>
          <t>-</t>
        </is>
      </c>
    </row>
    <row r="4">
      <c r="A4" t="inlineStr">
        <is>
          <t>0015259294518000</t>
        </is>
      </c>
      <c r="B4" t="inlineStr">
        <is>
          <t>SIBA SURYA</t>
        </is>
      </c>
      <c r="C4" t="inlineStr">
        <is>
          <t>08002600004623000</t>
        </is>
      </c>
      <c r="D4" t="inlineStr">
        <is>
          <t>2026-01-12T00:00:00</t>
        </is>
      </c>
      <c r="E4" t="inlineStr">
        <is>
          <t>Januari</t>
        </is>
      </c>
      <c r="F4" t="inlineStr">
        <is>
          <t>2026</t>
        </is>
      </c>
      <c r="I4" t="inlineStr">
        <is>
          <t>APPROVED</t>
        </is>
      </c>
      <c r="K4" s="31" t="n">
        <v>21850000</v>
      </c>
      <c r="L4" s="31" t="n">
        <v>20029167</v>
      </c>
      <c r="M4" s="31" t="n">
        <v>2403500</v>
      </c>
      <c r="R4" s="38" t="n">
        <v>575</v>
      </c>
      <c r="S4" s="39" t="n">
        <v>21850000</v>
      </c>
      <c r="T4" s="36">
        <f>O4+Q4+S4</f>
        <v/>
      </c>
      <c r="U4" s="35" t="inlineStr">
        <is>
          <t>-</t>
        </is>
      </c>
    </row>
    <row r="5">
      <c r="A5" t="inlineStr">
        <is>
          <t>0015259294518000</t>
        </is>
      </c>
      <c r="B5" t="inlineStr">
        <is>
          <t>SIBA SURYA</t>
        </is>
      </c>
      <c r="C5" t="inlineStr">
        <is>
          <t>08002600004136097</t>
        </is>
      </c>
      <c r="D5" t="inlineStr">
        <is>
          <t>2026-01-10T00:00:00</t>
        </is>
      </c>
      <c r="E5" t="inlineStr">
        <is>
          <t>Januari</t>
        </is>
      </c>
      <c r="F5" t="inlineStr">
        <is>
          <t>2026</t>
        </is>
      </c>
      <c r="I5" t="inlineStr">
        <is>
          <t>APPROVED</t>
        </is>
      </c>
      <c r="K5" s="31" t="n">
        <v>5190000</v>
      </c>
      <c r="L5" s="31" t="n">
        <v>4757500</v>
      </c>
      <c r="M5" s="31" t="n">
        <v>570900</v>
      </c>
      <c r="R5" s="38" t="n">
        <v>173</v>
      </c>
      <c r="S5" s="39" t="n">
        <v>5190000</v>
      </c>
      <c r="T5" s="36">
        <f>O5+Q5+S5</f>
        <v/>
      </c>
      <c r="U5" s="35" t="inlineStr">
        <is>
          <t>-</t>
        </is>
      </c>
    </row>
    <row r="6">
      <c r="A6" t="inlineStr">
        <is>
          <t>0015259294518000</t>
        </is>
      </c>
      <c r="B6" t="inlineStr">
        <is>
          <t>SIBA SURYA</t>
        </is>
      </c>
      <c r="C6" t="inlineStr">
        <is>
          <t>08002600004135722</t>
        </is>
      </c>
      <c r="D6" t="inlineStr">
        <is>
          <t>2026-01-10T00:00:00</t>
        </is>
      </c>
      <c r="E6" t="inlineStr">
        <is>
          <t>Januari</t>
        </is>
      </c>
      <c r="F6" t="inlineStr">
        <is>
          <t>2026</t>
        </is>
      </c>
      <c r="I6" t="inlineStr">
        <is>
          <t>APPROVED</t>
        </is>
      </c>
      <c r="K6" s="31" t="n">
        <v>129271500</v>
      </c>
      <c r="L6" s="31" t="n">
        <v>118498875</v>
      </c>
      <c r="M6" s="31" t="n">
        <v>14219865</v>
      </c>
      <c r="R6" s="38" t="n">
        <v>3450</v>
      </c>
      <c r="S6" s="39" t="n">
        <v>129271500</v>
      </c>
      <c r="T6" s="36">
        <f>O6+Q6+S6</f>
        <v/>
      </c>
      <c r="U6" s="35" t="inlineStr">
        <is>
          <t>-</t>
        </is>
      </c>
    </row>
    <row r="7">
      <c r="A7" t="inlineStr">
        <is>
          <t>0010000727051000</t>
        </is>
      </c>
      <c r="B7" t="inlineStr">
        <is>
          <t>PUPUK KALIMANTAN TIMUR</t>
        </is>
      </c>
      <c r="C7" t="inlineStr">
        <is>
          <t>04002600003818273</t>
        </is>
      </c>
      <c r="D7" t="inlineStr">
        <is>
          <t>2026-01-08T00:00:00</t>
        </is>
      </c>
      <c r="E7" t="inlineStr">
        <is>
          <t>Januari</t>
        </is>
      </c>
      <c r="F7" t="inlineStr">
        <is>
          <t>2026</t>
        </is>
      </c>
      <c r="I7" t="inlineStr">
        <is>
          <t>APPROVED</t>
        </is>
      </c>
      <c r="J7" s="2" t="inlineStr">
        <is>
          <t>F/TSPI/2026/I/010</t>
        </is>
      </c>
      <c r="K7" s="31" t="n">
        <v>1318200000</v>
      </c>
      <c r="L7" s="31" t="n">
        <v>1208350000</v>
      </c>
      <c r="M7" s="31" t="n">
        <v>145002000</v>
      </c>
      <c r="N7" s="38" t="n">
        <v>6591000</v>
      </c>
      <c r="O7" s="39" t="n">
        <v>1318200000</v>
      </c>
      <c r="T7" s="36">
        <f>O7+Q7+S7</f>
        <v/>
      </c>
      <c r="U7" s="35" t="inlineStr">
        <is>
          <t>-</t>
        </is>
      </c>
    </row>
    <row r="8" hidden="1">
      <c r="A8" t="inlineStr">
        <is>
          <t>0812561090323000</t>
        </is>
      </c>
      <c r="B8" t="inlineStr">
        <is>
          <t>SUMBER SUBUR ABADI</t>
        </is>
      </c>
      <c r="C8" t="inlineStr">
        <is>
          <t>08012600002377297</t>
        </is>
      </c>
      <c r="D8" t="inlineStr">
        <is>
          <t>2026-01-05T00:00:00</t>
        </is>
      </c>
      <c r="E8" t="inlineStr">
        <is>
          <t>Januari</t>
        </is>
      </c>
      <c r="F8" t="inlineStr">
        <is>
          <t>2026</t>
        </is>
      </c>
      <c r="I8" t="inlineStr">
        <is>
          <t>AMENDED</t>
        </is>
      </c>
      <c r="K8" s="31" t="n">
        <v>0</v>
      </c>
      <c r="L8" s="31" t="n">
        <v>0</v>
      </c>
      <c r="M8" s="31" t="n">
        <v>0</v>
      </c>
      <c r="R8" s="16" t="n">
        <v>0</v>
      </c>
      <c r="S8" s="16" t="n">
        <v>0</v>
      </c>
      <c r="T8" s="36">
        <f>O8+Q8+S8</f>
        <v/>
      </c>
      <c r="U8" s="35">
        <f>K8-T8</f>
        <v/>
      </c>
    </row>
    <row r="9">
      <c r="A9" t="inlineStr">
        <is>
          <t>0010000727051000</t>
        </is>
      </c>
      <c r="B9" t="inlineStr">
        <is>
          <t>PUPUK KALIMANTAN TIMUR</t>
        </is>
      </c>
      <c r="C9" t="inlineStr">
        <is>
          <t>04002600013993826</t>
        </is>
      </c>
      <c r="D9" t="inlineStr">
        <is>
          <t>2026-01-19T00:00:00</t>
        </is>
      </c>
      <c r="E9" t="inlineStr">
        <is>
          <t>Januari</t>
        </is>
      </c>
      <c r="F9" t="inlineStr">
        <is>
          <t>2026</t>
        </is>
      </c>
      <c r="I9" t="inlineStr">
        <is>
          <t>APPROVED</t>
        </is>
      </c>
      <c r="J9" s="2" t="inlineStr">
        <is>
          <t>F/TSPI/2026/I/023</t>
        </is>
      </c>
      <c r="K9" s="31" t="n">
        <v>1318200000</v>
      </c>
      <c r="L9" s="31" t="n">
        <v>1208350000</v>
      </c>
      <c r="M9" s="31" t="n">
        <v>145002000</v>
      </c>
      <c r="N9" s="38" t="n">
        <v>6591000</v>
      </c>
      <c r="O9" s="13" t="n">
        <v>1318200000</v>
      </c>
      <c r="T9" s="36">
        <f>O9+Q9+S9</f>
        <v/>
      </c>
      <c r="U9" s="35" t="inlineStr">
        <is>
          <t>-</t>
        </is>
      </c>
    </row>
    <row r="10">
      <c r="A10" t="inlineStr">
        <is>
          <t>0015259294518000</t>
        </is>
      </c>
      <c r="B10" t="inlineStr">
        <is>
          <t>SIBA SURYA</t>
        </is>
      </c>
      <c r="C10" t="inlineStr">
        <is>
          <t>08002600011988449</t>
        </is>
      </c>
      <c r="D10" t="inlineStr">
        <is>
          <t>2026-01-21T00:00:00</t>
        </is>
      </c>
      <c r="E10" t="inlineStr">
        <is>
          <t>Januari</t>
        </is>
      </c>
      <c r="F10" t="inlineStr">
        <is>
          <t>2026</t>
        </is>
      </c>
      <c r="I10" t="inlineStr">
        <is>
          <t>APPROVED</t>
        </is>
      </c>
      <c r="K10" s="31" t="n">
        <v>42550000</v>
      </c>
      <c r="L10" s="31" t="n">
        <v>39004167</v>
      </c>
      <c r="M10" s="31" t="n">
        <v>4680500</v>
      </c>
      <c r="R10" s="38" t="n">
        <v>1150</v>
      </c>
      <c r="S10" s="13" t="n">
        <v>42550000</v>
      </c>
      <c r="T10" s="36">
        <f>O10+Q10+S10</f>
        <v/>
      </c>
      <c r="U10" s="35" t="inlineStr">
        <is>
          <t>-</t>
        </is>
      </c>
    </row>
    <row r="11">
      <c r="A11" t="inlineStr">
        <is>
          <t>0015259294518000</t>
        </is>
      </c>
      <c r="B11" t="inlineStr">
        <is>
          <t>SIBA SURYA</t>
        </is>
      </c>
      <c r="C11" t="inlineStr">
        <is>
          <t>08002600011988104</t>
        </is>
      </c>
      <c r="D11" t="inlineStr">
        <is>
          <t>2026-01-21T00:00:00</t>
        </is>
      </c>
      <c r="E11" t="inlineStr">
        <is>
          <t>Januari</t>
        </is>
      </c>
      <c r="F11" t="inlineStr">
        <is>
          <t>2026</t>
        </is>
      </c>
      <c r="I11" t="inlineStr">
        <is>
          <t>APPROVED</t>
        </is>
      </c>
      <c r="K11" s="31" t="n">
        <v>115000000</v>
      </c>
      <c r="L11" s="31" t="n">
        <v>105416667</v>
      </c>
      <c r="M11" s="31" t="n">
        <v>12650000</v>
      </c>
      <c r="R11" s="38" t="n">
        <v>2875</v>
      </c>
      <c r="S11" s="13" t="n">
        <v>115000000</v>
      </c>
      <c r="T11" s="36">
        <f>O11+Q11+S11</f>
        <v/>
      </c>
      <c r="U11" s="35" t="inlineStr">
        <is>
          <t>-</t>
        </is>
      </c>
    </row>
    <row r="12">
      <c r="A12" t="inlineStr">
        <is>
          <t>0015259294518000</t>
        </is>
      </c>
      <c r="B12" t="inlineStr">
        <is>
          <t>SIBA SURYA</t>
        </is>
      </c>
      <c r="C12" t="inlineStr">
        <is>
          <t>08002600011987561</t>
        </is>
      </c>
      <c r="D12" t="inlineStr">
        <is>
          <t>2026-01-21T00:00:00</t>
        </is>
      </c>
      <c r="E12" t="inlineStr">
        <is>
          <t>Januari</t>
        </is>
      </c>
      <c r="F12" t="inlineStr">
        <is>
          <t>2026</t>
        </is>
      </c>
      <c r="I12" t="inlineStr">
        <is>
          <t>APPROVED</t>
        </is>
      </c>
      <c r="K12" s="31" t="n">
        <v>84525000</v>
      </c>
      <c r="L12" s="31" t="n">
        <v>77481250</v>
      </c>
      <c r="M12" s="31" t="n">
        <v>9297750</v>
      </c>
      <c r="R12" s="38" t="n">
        <v>2300</v>
      </c>
      <c r="S12" s="13" t="n">
        <v>84525000</v>
      </c>
      <c r="T12" s="36">
        <f>O12+Q12+S12</f>
        <v/>
      </c>
      <c r="U12" s="35" t="inlineStr">
        <is>
          <t>-</t>
        </is>
      </c>
    </row>
    <row r="13">
      <c r="A13" t="inlineStr">
        <is>
          <t>0623553856216000</t>
        </is>
      </c>
      <c r="B13" t="inlineStr">
        <is>
          <t>AMERTA LESTARI</t>
        </is>
      </c>
      <c r="C13" t="inlineStr">
        <is>
          <t>04002600010587472</t>
        </is>
      </c>
      <c r="D13" t="inlineStr">
        <is>
          <t>2026-01-12T00:00:00</t>
        </is>
      </c>
      <c r="E13" t="inlineStr">
        <is>
          <t>Januari</t>
        </is>
      </c>
      <c r="F13" t="inlineStr">
        <is>
          <t>2026</t>
        </is>
      </c>
      <c r="I13" t="inlineStr">
        <is>
          <t>APPROVED</t>
        </is>
      </c>
      <c r="J13" s="2" t="inlineStr">
        <is>
          <t>F/TSPI/2026/I/011,019</t>
        </is>
      </c>
      <c r="K13" s="31" t="n">
        <v>165000000</v>
      </c>
      <c r="L13" s="31" t="n">
        <v>151250000</v>
      </c>
      <c r="M13" s="31" t="n">
        <v>18150000</v>
      </c>
      <c r="P13" s="6" t="n">
        <v>550</v>
      </c>
      <c r="Q13" s="4" t="n">
        <v>165000000</v>
      </c>
      <c r="R13" s="16" t="n"/>
      <c r="S13" s="13" t="n"/>
      <c r="T13" s="36">
        <f>O13+Q13+S13</f>
        <v/>
      </c>
      <c r="U13" s="35" t="inlineStr">
        <is>
          <t>-</t>
        </is>
      </c>
    </row>
    <row r="14">
      <c r="A14" t="inlineStr">
        <is>
          <t>0411238983323000</t>
        </is>
      </c>
      <c r="B14" t="inlineStr">
        <is>
          <t>PT. MITRA KARGO INDOJAYA</t>
        </is>
      </c>
      <c r="C14" t="inlineStr">
        <is>
          <t>08002600010417587</t>
        </is>
      </c>
      <c r="D14" t="inlineStr">
        <is>
          <t>2026-01-08T00:00:00</t>
        </is>
      </c>
      <c r="E14" t="inlineStr">
        <is>
          <t>Januari</t>
        </is>
      </c>
      <c r="F14" t="inlineStr">
        <is>
          <t>2026</t>
        </is>
      </c>
      <c r="I14" t="inlineStr">
        <is>
          <t>APPROVED</t>
        </is>
      </c>
      <c r="K14" s="31" t="n">
        <v>80500000</v>
      </c>
      <c r="L14" s="31" t="n">
        <v>73791667</v>
      </c>
      <c r="M14" s="31" t="n">
        <v>8855000</v>
      </c>
      <c r="R14" s="38" t="n">
        <v>575</v>
      </c>
      <c r="S14" s="13" t="n">
        <v>80500000</v>
      </c>
      <c r="T14" s="36">
        <f>O14+Q14+S14</f>
        <v/>
      </c>
      <c r="U14" s="35" t="inlineStr">
        <is>
          <t>-</t>
        </is>
      </c>
    </row>
    <row r="15">
      <c r="A15" t="inlineStr">
        <is>
          <t>0010000727051000</t>
        </is>
      </c>
      <c r="B15" t="inlineStr">
        <is>
          <t>PUPUK KALIMANTAN TIMUR</t>
        </is>
      </c>
      <c r="C15" t="inlineStr">
        <is>
          <t>04002600009758108</t>
        </is>
      </c>
      <c r="D15" t="inlineStr">
        <is>
          <t>2026-01-16T00:00:00</t>
        </is>
      </c>
      <c r="E15" t="inlineStr">
        <is>
          <t>Januari</t>
        </is>
      </c>
      <c r="F15" t="inlineStr">
        <is>
          <t>2026</t>
        </is>
      </c>
      <c r="I15" t="inlineStr">
        <is>
          <t>APPROVED</t>
        </is>
      </c>
      <c r="J15" s="2" t="inlineStr">
        <is>
          <t>F/TSPI/2026/I/017</t>
        </is>
      </c>
      <c r="K15" s="31" t="n">
        <v>707800000</v>
      </c>
      <c r="L15" s="31" t="n">
        <v>648816667</v>
      </c>
      <c r="M15" s="31" t="n">
        <v>77858000</v>
      </c>
      <c r="N15" s="38" t="n">
        <v>7078000</v>
      </c>
      <c r="O15" s="13" t="n">
        <v>707800000</v>
      </c>
      <c r="T15" s="36">
        <f>O15+Q15+S15</f>
        <v/>
      </c>
      <c r="U15" s="35" t="inlineStr">
        <is>
          <t>-</t>
        </is>
      </c>
    </row>
    <row r="16">
      <c r="A16" t="inlineStr">
        <is>
          <t>0010000727051000</t>
        </is>
      </c>
      <c r="B16" t="inlineStr">
        <is>
          <t>PUPUK KALIMANTAN TIMUR</t>
        </is>
      </c>
      <c r="C16" t="inlineStr">
        <is>
          <t>04002600008321482</t>
        </is>
      </c>
      <c r="D16" t="inlineStr">
        <is>
          <t>2026-01-12T00:00:00</t>
        </is>
      </c>
      <c r="E16" t="inlineStr">
        <is>
          <t>Januari</t>
        </is>
      </c>
      <c r="F16" t="inlineStr">
        <is>
          <t>2026</t>
        </is>
      </c>
      <c r="I16" t="inlineStr">
        <is>
          <t>APPROVED</t>
        </is>
      </c>
      <c r="J16" s="2" t="inlineStr">
        <is>
          <t>F/TSPI/2026/I/016</t>
        </is>
      </c>
      <c r="K16" s="31" t="n">
        <v>1318200000</v>
      </c>
      <c r="L16" s="31" t="n">
        <v>1208350000</v>
      </c>
      <c r="M16" s="31" t="n">
        <v>145002000</v>
      </c>
      <c r="N16" s="38" t="n">
        <v>6591000</v>
      </c>
      <c r="O16" s="13" t="n">
        <v>1318200000</v>
      </c>
      <c r="T16" s="36">
        <f>O16+Q16+S16</f>
        <v/>
      </c>
      <c r="U16" s="35" t="inlineStr">
        <is>
          <t>-</t>
        </is>
      </c>
    </row>
    <row r="17">
      <c r="A17" t="inlineStr">
        <is>
          <t>0015259294518000</t>
        </is>
      </c>
      <c r="B17" t="inlineStr">
        <is>
          <t>SIBA SURYA</t>
        </is>
      </c>
      <c r="C17" t="inlineStr">
        <is>
          <t>08002600022423298</t>
        </is>
      </c>
      <c r="D17" t="inlineStr">
        <is>
          <t>2026-01-31T00:00:00</t>
        </is>
      </c>
      <c r="E17" t="inlineStr">
        <is>
          <t>Januari</t>
        </is>
      </c>
      <c r="F17" t="inlineStr">
        <is>
          <t>2026</t>
        </is>
      </c>
      <c r="I17" t="inlineStr">
        <is>
          <t>APPROVED</t>
        </is>
      </c>
      <c r="J17" s="2" t="inlineStr">
        <is>
          <t>F/TSPI/2026/I/022</t>
        </is>
      </c>
      <c r="K17" s="31" t="n">
        <v>17825000</v>
      </c>
      <c r="L17" s="31" t="n">
        <v>16339583</v>
      </c>
      <c r="M17" s="31" t="n">
        <v>1960750</v>
      </c>
      <c r="R17" s="38" t="n">
        <v>575</v>
      </c>
      <c r="S17" s="39" t="n">
        <v>17825000</v>
      </c>
      <c r="T17" s="36">
        <f>O17+Q17+S17</f>
        <v/>
      </c>
      <c r="U17" s="35" t="inlineStr">
        <is>
          <t>-</t>
        </is>
      </c>
    </row>
    <row r="18">
      <c r="A18" t="inlineStr">
        <is>
          <t>0015259294518000</t>
        </is>
      </c>
      <c r="B18" t="inlineStr">
        <is>
          <t>SIBA SURYA</t>
        </is>
      </c>
      <c r="C18" t="inlineStr">
        <is>
          <t>08002600019762011</t>
        </is>
      </c>
      <c r="D18" t="inlineStr">
        <is>
          <t>2026-01-29T00:00:00</t>
        </is>
      </c>
      <c r="E18" t="inlineStr">
        <is>
          <t>Januari</t>
        </is>
      </c>
      <c r="F18" t="inlineStr">
        <is>
          <t>2026</t>
        </is>
      </c>
      <c r="I18" t="inlineStr">
        <is>
          <t>APPROVED</t>
        </is>
      </c>
      <c r="J18" s="2" t="inlineStr">
        <is>
          <t>F/TSPI/2026/I/021</t>
        </is>
      </c>
      <c r="K18" s="31" t="n">
        <v>35650000</v>
      </c>
      <c r="L18" s="31" t="n">
        <v>32679167</v>
      </c>
      <c r="M18" s="31" t="n">
        <v>3921500</v>
      </c>
      <c r="R18" s="38" t="n">
        <v>1150</v>
      </c>
      <c r="S18" s="39" t="n">
        <v>35650000</v>
      </c>
      <c r="T18" s="36">
        <f>O18+Q18+S18</f>
        <v/>
      </c>
      <c r="U18" s="35" t="inlineStr">
        <is>
          <t>-</t>
        </is>
      </c>
    </row>
    <row r="19">
      <c r="A19" t="inlineStr">
        <is>
          <t>0812561090323000</t>
        </is>
      </c>
      <c r="B19" t="inlineStr">
        <is>
          <t>SUMBER SUBUR ABADI</t>
        </is>
      </c>
      <c r="C19" t="inlineStr">
        <is>
          <t>08012600002377297</t>
        </is>
      </c>
      <c r="D19" t="inlineStr">
        <is>
          <t>2026-01-05T00:00:00</t>
        </is>
      </c>
      <c r="E19" t="inlineStr">
        <is>
          <t>Januari</t>
        </is>
      </c>
      <c r="F19" t="inlineStr">
        <is>
          <t>2026</t>
        </is>
      </c>
      <c r="I19" t="inlineStr">
        <is>
          <t>APPROVED</t>
        </is>
      </c>
      <c r="K19" s="31" t="n">
        <v>125168000</v>
      </c>
      <c r="L19" s="31" t="n">
        <v>114737333</v>
      </c>
      <c r="M19" s="31" t="n">
        <v>13768480</v>
      </c>
      <c r="R19" s="38" t="n">
        <v>160</v>
      </c>
      <c r="S19" s="39" t="n">
        <v>125168000</v>
      </c>
      <c r="T19" s="36">
        <f>O19+Q19+S19</f>
        <v/>
      </c>
      <c r="U19" s="35" t="inlineStr">
        <is>
          <t>-</t>
        </is>
      </c>
    </row>
    <row r="20">
      <c r="A20" t="inlineStr">
        <is>
          <t>0015259294518000</t>
        </is>
      </c>
      <c r="B20" t="inlineStr">
        <is>
          <t>SIBA SURYA</t>
        </is>
      </c>
      <c r="C20" t="inlineStr">
        <is>
          <t>08002600028818600</t>
        </is>
      </c>
      <c r="D20" t="inlineStr">
        <is>
          <t>2026-02-05T00:00:00</t>
        </is>
      </c>
      <c r="E20" t="inlineStr">
        <is>
          <t>Februari</t>
        </is>
      </c>
      <c r="F20" t="inlineStr">
        <is>
          <t>2026</t>
        </is>
      </c>
      <c r="I20" t="inlineStr">
        <is>
          <t>APPROVED</t>
        </is>
      </c>
      <c r="J20" s="2" t="inlineStr">
        <is>
          <t>F/TSPI/2026/III/025</t>
        </is>
      </c>
      <c r="K20" s="31" t="n">
        <v>20700000</v>
      </c>
      <c r="L20" s="31" t="n">
        <v>18975000</v>
      </c>
      <c r="M20" s="31" t="n">
        <v>2277000</v>
      </c>
      <c r="R20" s="38" t="n">
        <v>575</v>
      </c>
      <c r="S20" s="39" t="n">
        <v>20700000</v>
      </c>
      <c r="T20" s="36">
        <f>O20+Q20+S20</f>
        <v/>
      </c>
      <c r="U20" s="35" t="inlineStr">
        <is>
          <t>-</t>
        </is>
      </c>
    </row>
    <row r="21">
      <c r="A21" t="inlineStr">
        <is>
          <t>0830990669009000</t>
        </is>
      </c>
      <c r="B21" t="inlineStr">
        <is>
          <t>KANTOR AKUNTAN PUBLIK IRFAN, ABDULRAHMAN HASAN SALIPU DAN DARMAWAN</t>
        </is>
      </c>
      <c r="C21" t="inlineStr">
        <is>
          <t>04002600052331513</t>
        </is>
      </c>
      <c r="D21" t="inlineStr">
        <is>
          <t>2026-02-09T00:00:00</t>
        </is>
      </c>
      <c r="E21" t="inlineStr">
        <is>
          <t>Februari</t>
        </is>
      </c>
      <c r="F21" t="inlineStr">
        <is>
          <t>2026</t>
        </is>
      </c>
      <c r="I21" t="inlineStr">
        <is>
          <t>APPROVED</t>
        </is>
      </c>
      <c r="K21" s="31" t="n">
        <v>16250000</v>
      </c>
      <c r="L21" s="31" t="n">
        <v>14895833</v>
      </c>
      <c r="M21" s="31" t="n">
        <v>1787500</v>
      </c>
      <c r="N21" s="16" t="n"/>
      <c r="O21" s="16" t="n"/>
      <c r="P21" s="16" t="n"/>
      <c r="Q21" s="16" t="n"/>
      <c r="R21" s="16" t="n"/>
      <c r="S21" s="16" t="n"/>
      <c r="T21" s="36">
        <f>O21+Q21+S21</f>
        <v/>
      </c>
      <c r="U21" s="35">
        <f>K21-T21</f>
        <v/>
      </c>
    </row>
    <row r="22">
      <c r="A22" t="inlineStr">
        <is>
          <t>0812561090323000</t>
        </is>
      </c>
      <c r="B22" t="inlineStr">
        <is>
          <t>SUMBER SUBUR ABADI</t>
        </is>
      </c>
      <c r="C22" t="inlineStr">
        <is>
          <t>08012600032363008</t>
        </is>
      </c>
      <c r="D22" t="inlineStr">
        <is>
          <t>2026-02-09T00:00:00</t>
        </is>
      </c>
      <c r="E22" t="inlineStr">
        <is>
          <t>Februari</t>
        </is>
      </c>
      <c r="F22" t="inlineStr">
        <is>
          <t>2026</t>
        </is>
      </c>
      <c r="G22" t="inlineStr">
        <is>
          <t>Februari</t>
        </is>
      </c>
      <c r="H22" t="inlineStr">
        <is>
          <t>2026</t>
        </is>
      </c>
      <c r="I22" t="inlineStr">
        <is>
          <t>APPROVED</t>
        </is>
      </c>
      <c r="K22" s="31" t="n">
        <v>5100000</v>
      </c>
      <c r="L22" s="31" t="n">
        <v>4675000</v>
      </c>
      <c r="M22" s="31" t="n">
        <v>561000</v>
      </c>
      <c r="N22" s="16" t="n"/>
      <c r="O22" s="16" t="n"/>
      <c r="P22" s="16" t="n"/>
      <c r="Q22" s="16" t="n"/>
      <c r="R22" s="38" t="n">
        <v>170</v>
      </c>
      <c r="S22" s="39" t="n">
        <v>5100000</v>
      </c>
      <c r="T22" s="36">
        <f>O22+Q22+S22</f>
        <v/>
      </c>
      <c r="U22" s="35" t="inlineStr">
        <is>
          <t>-</t>
        </is>
      </c>
    </row>
    <row r="23">
      <c r="A23" t="inlineStr">
        <is>
          <t>0411238983323000</t>
        </is>
      </c>
      <c r="B23" t="inlineStr">
        <is>
          <t>PT. MITRA KARGO INDOJAYA</t>
        </is>
      </c>
      <c r="C23" t="inlineStr">
        <is>
          <t>08002600077423307</t>
        </is>
      </c>
      <c r="D23" t="inlineStr">
        <is>
          <t>2026-02-02T00:00:00</t>
        </is>
      </c>
      <c r="E23" t="inlineStr">
        <is>
          <t>Februari</t>
        </is>
      </c>
      <c r="F23" t="inlineStr">
        <is>
          <t>2026</t>
        </is>
      </c>
      <c r="I23" t="inlineStr">
        <is>
          <t>APPROVED</t>
        </is>
      </c>
      <c r="J23" s="2" t="inlineStr">
        <is>
          <t>F/TSPI/2026/III/024</t>
        </is>
      </c>
      <c r="K23" s="19" t="n">
        <v>104259640</v>
      </c>
      <c r="L23" s="20" t="n">
        <v>95571337</v>
      </c>
      <c r="M23" s="20" t="n">
        <v>11468560</v>
      </c>
      <c r="N23" s="16" t="n"/>
      <c r="O23" s="16" t="n"/>
      <c r="P23" s="16" t="n"/>
      <c r="Q23" s="16" t="n"/>
      <c r="R23" s="38" t="n">
        <v>580</v>
      </c>
      <c r="S23" s="18" t="n">
        <v>104259640</v>
      </c>
      <c r="T23" s="36">
        <f>O23+Q23+S23</f>
        <v/>
      </c>
      <c r="U23" s="35" t="inlineStr">
        <is>
          <t>-</t>
        </is>
      </c>
    </row>
    <row r="24">
      <c r="A24" t="inlineStr">
        <is>
          <t>0015259294518000</t>
        </is>
      </c>
      <c r="B24" t="inlineStr">
        <is>
          <t>SIBA SURYA</t>
        </is>
      </c>
      <c r="C24" t="inlineStr">
        <is>
          <t>08002600073464980</t>
        </is>
      </c>
      <c r="D24" t="inlineStr">
        <is>
          <t>2026-03-05T00:00:00</t>
        </is>
      </c>
      <c r="E24" t="inlineStr">
        <is>
          <t>Maret</t>
        </is>
      </c>
      <c r="F24" t="inlineStr">
        <is>
          <t>2026</t>
        </is>
      </c>
      <c r="I24" t="inlineStr">
        <is>
          <t>APPROVED</t>
        </is>
      </c>
      <c r="J24" s="2" t="inlineStr">
        <is>
          <t>F/TSPI/2026/III/026</t>
        </is>
      </c>
      <c r="K24" s="19" t="n">
        <v>15525000</v>
      </c>
      <c r="L24" s="20" t="n">
        <v>14231250</v>
      </c>
      <c r="M24" s="20" t="n">
        <v>1707750</v>
      </c>
      <c r="N24" s="16" t="n"/>
      <c r="O24" s="16" t="n"/>
      <c r="P24" s="16" t="n"/>
      <c r="Q24" s="16" t="n"/>
      <c r="R24" s="38" t="n">
        <v>575</v>
      </c>
      <c r="S24" s="18" t="n">
        <v>15525000</v>
      </c>
      <c r="T24" s="36">
        <f>O24+Q24+S24</f>
        <v/>
      </c>
      <c r="U24" s="35" t="inlineStr">
        <is>
          <t>-</t>
        </is>
      </c>
    </row>
    <row r="25">
      <c r="A25" t="inlineStr">
        <is>
          <t>0015259294518000</t>
        </is>
      </c>
      <c r="B25" t="inlineStr">
        <is>
          <t>SIBA SURYA</t>
        </is>
      </c>
      <c r="C25" t="inlineStr">
        <is>
          <t>08002600106557003</t>
        </is>
      </c>
      <c r="D25" t="inlineStr">
        <is>
          <t>2026-03-31T00:00:00</t>
        </is>
      </c>
      <c r="E25" t="inlineStr">
        <is>
          <t>Maret</t>
        </is>
      </c>
      <c r="F25" t="inlineStr">
        <is>
          <t>2026</t>
        </is>
      </c>
      <c r="I25" t="inlineStr">
        <is>
          <t>APPROVED</t>
        </is>
      </c>
      <c r="K25" s="31" t="n">
        <v>21200000</v>
      </c>
      <c r="L25" s="31" t="n">
        <v>19433333</v>
      </c>
      <c r="M25" s="31" t="n">
        <v>2332000</v>
      </c>
      <c r="R25" s="38" t="n">
        <v>530</v>
      </c>
      <c r="S25" s="39" t="n">
        <v>21200000</v>
      </c>
      <c r="T25" s="36">
        <f>O25+Q25+S25</f>
        <v/>
      </c>
      <c r="U25" s="35" t="inlineStr">
        <is>
          <t>-</t>
        </is>
      </c>
    </row>
    <row r="26">
      <c r="A26" t="inlineStr">
        <is>
          <t>0015259294518000</t>
        </is>
      </c>
      <c r="B26" t="inlineStr">
        <is>
          <t>SIBA SURYA</t>
        </is>
      </c>
      <c r="C26" t="inlineStr">
        <is>
          <t>08002600104296712</t>
        </is>
      </c>
      <c r="D26" t="inlineStr">
        <is>
          <t>2026-03-28T00:00:00</t>
        </is>
      </c>
      <c r="E26" t="inlineStr">
        <is>
          <t>Maret</t>
        </is>
      </c>
      <c r="F26" t="inlineStr">
        <is>
          <t>2026</t>
        </is>
      </c>
      <c r="I26" t="inlineStr">
        <is>
          <t>APPROVED</t>
        </is>
      </c>
      <c r="K26" s="31" t="n">
        <v>32000000</v>
      </c>
      <c r="L26" s="31" t="n">
        <v>29333333</v>
      </c>
      <c r="M26" s="31" t="n">
        <v>3520000</v>
      </c>
      <c r="R26" s="38" t="n">
        <v>800</v>
      </c>
      <c r="S26" s="39" t="n">
        <v>32000000</v>
      </c>
      <c r="T26" s="36">
        <f>O26+Q26+S26</f>
        <v/>
      </c>
      <c r="U26" s="35" t="inlineStr">
        <is>
          <t>-</t>
        </is>
      </c>
    </row>
    <row r="27">
      <c r="A27" t="inlineStr">
        <is>
          <t>0015259294518000</t>
        </is>
      </c>
      <c r="B27" t="inlineStr">
        <is>
          <t>SIBA SURYA</t>
        </is>
      </c>
      <c r="C27" t="inlineStr">
        <is>
          <t>08002600110464937</t>
        </is>
      </c>
      <c r="D27" t="inlineStr">
        <is>
          <t>2026-04-02T00:00:00</t>
        </is>
      </c>
      <c r="E27" t="inlineStr">
        <is>
          <t>April</t>
        </is>
      </c>
      <c r="F27" t="inlineStr">
        <is>
          <t>2026</t>
        </is>
      </c>
      <c r="I27" t="inlineStr">
        <is>
          <t>APPROVED</t>
        </is>
      </c>
      <c r="K27" s="31" t="n">
        <v>6400000</v>
      </c>
      <c r="L27" s="31" t="n">
        <v>5866667</v>
      </c>
      <c r="M27" s="31" t="n">
        <v>704000</v>
      </c>
      <c r="R27" s="38" t="n">
        <v>160</v>
      </c>
      <c r="S27" s="39" t="n">
        <v>6400000</v>
      </c>
      <c r="T27" s="36">
        <f>O27+Q27+S27</f>
        <v/>
      </c>
      <c r="U27" s="35" t="inlineStr">
        <is>
          <t>-</t>
        </is>
      </c>
    </row>
    <row r="28">
      <c r="A28" t="inlineStr">
        <is>
          <t>0010613552051000</t>
        </is>
      </c>
      <c r="B28" t="inlineStr">
        <is>
          <t>PUPUK SRIWIDJAJA PALEMBANG</t>
        </is>
      </c>
      <c r="C28" t="inlineStr">
        <is>
          <t>04002600119684194</t>
        </is>
      </c>
      <c r="D28" t="inlineStr">
        <is>
          <t>2026-04-06T00:00:00</t>
        </is>
      </c>
      <c r="E28" t="inlineStr">
        <is>
          <t>April</t>
        </is>
      </c>
      <c r="F28" t="inlineStr">
        <is>
          <t>2026</t>
        </is>
      </c>
      <c r="I28" t="inlineStr">
        <is>
          <t>APPROVED</t>
        </is>
      </c>
      <c r="J28" s="2" t="inlineStr">
        <is>
          <t>F/TSPI/2026/IV/033</t>
        </is>
      </c>
      <c r="K28" s="31" t="n">
        <v>6336036000</v>
      </c>
      <c r="L28" s="31" t="n">
        <v>5808033000</v>
      </c>
      <c r="M28" s="31" t="n">
        <v>696963960</v>
      </c>
      <c r="N28" s="38" t="n">
        <v>6426000</v>
      </c>
      <c r="O28" s="39" t="n">
        <v>6336036000</v>
      </c>
      <c r="P28" s="16" t="n"/>
      <c r="Q28" s="16" t="n"/>
      <c r="R28" s="16" t="n"/>
      <c r="S28" s="16" t="n"/>
      <c r="T28" s="36">
        <f>O28+Q28+S28</f>
        <v/>
      </c>
      <c r="U28" s="35" t="inlineStr">
        <is>
          <t>-</t>
        </is>
      </c>
    </row>
    <row r="29">
      <c r="A29" t="inlineStr">
        <is>
          <t>0010613552051000</t>
        </is>
      </c>
      <c r="B29" t="inlineStr">
        <is>
          <t>PUPUK SRIWIDJAJA PALEMBANG</t>
        </is>
      </c>
      <c r="C29" t="inlineStr">
        <is>
          <t>04002600128462451</t>
        </is>
      </c>
      <c r="D29" t="inlineStr">
        <is>
          <t>2026-04-11T00:00:00</t>
        </is>
      </c>
      <c r="E29" t="inlineStr">
        <is>
          <t>April</t>
        </is>
      </c>
      <c r="F29" t="inlineStr">
        <is>
          <t>2026</t>
        </is>
      </c>
      <c r="I29" t="inlineStr">
        <is>
          <t>APPROVED</t>
        </is>
      </c>
      <c r="J29" s="2" t="inlineStr">
        <is>
          <t>F/TSPI/2026/IV/037</t>
        </is>
      </c>
      <c r="K29" s="31" t="n">
        <v>1445850000</v>
      </c>
      <c r="L29" s="31" t="n">
        <v>1325362500</v>
      </c>
      <c r="M29" s="31" t="n">
        <v>159043500</v>
      </c>
      <c r="N29" s="38" t="n">
        <v>6426000</v>
      </c>
      <c r="O29" s="13" t="n">
        <v>1445850000</v>
      </c>
      <c r="P29" s="16" t="n"/>
      <c r="Q29" s="16" t="n"/>
      <c r="R29" s="16" t="n"/>
      <c r="S29" s="16" t="n"/>
      <c r="T29" s="36">
        <f>O29+Q29+S29</f>
        <v/>
      </c>
      <c r="U29" s="35" t="inlineStr">
        <is>
          <t>-</t>
        </is>
      </c>
    </row>
    <row r="30">
      <c r="A30" t="inlineStr">
        <is>
          <t>0015259294518000</t>
        </is>
      </c>
      <c r="B30" t="inlineStr">
        <is>
          <t>SIBA SURYA</t>
        </is>
      </c>
      <c r="C30" t="inlineStr">
        <is>
          <t>08002600126698113</t>
        </is>
      </c>
      <c r="D30" t="inlineStr">
        <is>
          <t>2026-04-13T00:00:00</t>
        </is>
      </c>
      <c r="E30" t="inlineStr">
        <is>
          <t>April</t>
        </is>
      </c>
      <c r="F30" t="inlineStr">
        <is>
          <t>2026</t>
        </is>
      </c>
      <c r="I30" t="inlineStr">
        <is>
          <t>APPROVED</t>
        </is>
      </c>
      <c r="K30" s="31" t="n">
        <v>25600000</v>
      </c>
      <c r="L30" s="31" t="n">
        <v>23466667</v>
      </c>
      <c r="M30" s="31" t="n">
        <v>2816000</v>
      </c>
      <c r="N30" s="16" t="n"/>
      <c r="O30" s="16" t="n"/>
      <c r="P30" s="16" t="n"/>
      <c r="Q30" s="16" t="n"/>
      <c r="R30" s="38" t="n">
        <v>640</v>
      </c>
      <c r="S30" s="18" t="n">
        <v>25600000</v>
      </c>
      <c r="T30" s="36">
        <f>O30+Q30+S30</f>
        <v/>
      </c>
      <c r="U30" s="35" t="inlineStr">
        <is>
          <t>-</t>
        </is>
      </c>
    </row>
    <row r="31">
      <c r="A31" t="inlineStr">
        <is>
          <t>0010000727051000</t>
        </is>
      </c>
      <c r="B31" t="inlineStr">
        <is>
          <t>PUPUK KALIMANTAN TIMUR</t>
        </is>
      </c>
      <c r="C31" t="inlineStr">
        <is>
          <t>04002600126522410</t>
        </is>
      </c>
      <c r="D31" t="inlineStr">
        <is>
          <t>2026-04-10T00:00:00</t>
        </is>
      </c>
      <c r="E31" t="inlineStr">
        <is>
          <t>April</t>
        </is>
      </c>
      <c r="F31" t="inlineStr">
        <is>
          <t>2026</t>
        </is>
      </c>
      <c r="I31" t="inlineStr">
        <is>
          <t>APPROVED</t>
        </is>
      </c>
      <c r="J31" s="2" t="inlineStr">
        <is>
          <t>UM/TSPI/2026/IV/012</t>
        </is>
      </c>
      <c r="K31" s="31" t="n">
        <v>4306000000</v>
      </c>
      <c r="L31" s="31" t="n">
        <v>3947166667</v>
      </c>
      <c r="M31" s="31" t="n">
        <v>473660000</v>
      </c>
      <c r="N31" s="38" t="n">
        <v>8612000</v>
      </c>
      <c r="O31" s="13" t="n">
        <v>4306000000</v>
      </c>
      <c r="P31" s="16" t="n"/>
      <c r="Q31" s="16" t="n"/>
      <c r="R31" s="16" t="n"/>
      <c r="S31" s="16" t="n"/>
      <c r="T31" s="36">
        <f>O31+Q31+S31</f>
        <v/>
      </c>
      <c r="U31" s="35" t="inlineStr">
        <is>
          <t>-</t>
        </is>
      </c>
    </row>
    <row r="32">
      <c r="A32" t="inlineStr">
        <is>
          <t>0830990669009000</t>
        </is>
      </c>
      <c r="B32" t="inlineStr">
        <is>
          <t>KANTOR AKUNTAN PUBLIK IRFAN, ABDULRAHMAN HASAN SALIPU DAN DARMAWAN</t>
        </is>
      </c>
      <c r="C32" t="inlineStr">
        <is>
          <t>04002600125578649</t>
        </is>
      </c>
      <c r="D32" t="inlineStr">
        <is>
          <t>2026-04-02T00:00:00</t>
        </is>
      </c>
      <c r="E32" t="inlineStr">
        <is>
          <t>April</t>
        </is>
      </c>
      <c r="F32" t="inlineStr">
        <is>
          <t>2026</t>
        </is>
      </c>
      <c r="I32" t="inlineStr">
        <is>
          <t>APPROVED</t>
        </is>
      </c>
      <c r="K32" s="31" t="n">
        <v>16250000</v>
      </c>
      <c r="L32" s="31" t="n">
        <v>14895834</v>
      </c>
      <c r="M32" s="31" t="n">
        <v>1787500</v>
      </c>
      <c r="N32" s="16" t="n"/>
      <c r="O32" s="16" t="n"/>
      <c r="P32" s="16" t="n"/>
      <c r="Q32" s="18" t="n"/>
      <c r="R32" s="16" t="n"/>
      <c r="S32" s="16" t="n"/>
      <c r="T32" s="36">
        <f>O32+Q32+S32</f>
        <v/>
      </c>
      <c r="U32" s="35">
        <f>K32-T32</f>
        <v/>
      </c>
    </row>
    <row r="33">
      <c r="A33" t="inlineStr">
        <is>
          <t>0015259294518000</t>
        </is>
      </c>
      <c r="B33" t="inlineStr">
        <is>
          <t>SIBA SURYA</t>
        </is>
      </c>
      <c r="C33" t="inlineStr">
        <is>
          <t>08002600135680915</t>
        </is>
      </c>
      <c r="D33" t="inlineStr">
        <is>
          <t>2026-04-17T00:00:00</t>
        </is>
      </c>
      <c r="E33" t="inlineStr">
        <is>
          <t>April</t>
        </is>
      </c>
      <c r="F33" t="inlineStr">
        <is>
          <t>2026</t>
        </is>
      </c>
      <c r="I33" t="inlineStr">
        <is>
          <t>APPROVED</t>
        </is>
      </c>
      <c r="K33" s="31" t="n">
        <v>12800000</v>
      </c>
      <c r="L33" s="31" t="n">
        <v>11733333</v>
      </c>
      <c r="M33" s="31" t="n">
        <v>1408000</v>
      </c>
      <c r="R33" s="38" t="n">
        <v>320</v>
      </c>
      <c r="S33" s="39" t="n">
        <v>12800000</v>
      </c>
      <c r="T33" s="36">
        <f>O33+Q33+S33</f>
        <v/>
      </c>
      <c r="U33" s="35" t="inlineStr">
        <is>
          <t>-</t>
        </is>
      </c>
    </row>
    <row r="34">
      <c r="A34" t="inlineStr">
        <is>
          <t>0015259294518000</t>
        </is>
      </c>
      <c r="B34" t="inlineStr">
        <is>
          <t>SIBA SURYA</t>
        </is>
      </c>
      <c r="C34" t="inlineStr">
        <is>
          <t>08002600139735334</t>
        </is>
      </c>
      <c r="D34" t="inlineStr">
        <is>
          <t>2026-04-20T00:00:00</t>
        </is>
      </c>
      <c r="E34" t="inlineStr">
        <is>
          <t>April</t>
        </is>
      </c>
      <c r="F34" t="inlineStr">
        <is>
          <t>2026</t>
        </is>
      </c>
      <c r="I34" t="inlineStr">
        <is>
          <t>APPROVED</t>
        </is>
      </c>
      <c r="K34" s="31" t="n">
        <v>12800000</v>
      </c>
      <c r="L34" s="31" t="n">
        <v>11733333</v>
      </c>
      <c r="M34" s="31" t="n">
        <v>1408000</v>
      </c>
      <c r="R34" s="38" t="n">
        <v>320</v>
      </c>
      <c r="S34" s="39" t="n">
        <v>12800000</v>
      </c>
      <c r="T34" s="36">
        <f>O34+Q34+S34</f>
        <v/>
      </c>
      <c r="U34" s="35" t="inlineStr">
        <is>
          <t>-</t>
        </is>
      </c>
    </row>
    <row r="35">
      <c r="A35" t="inlineStr">
        <is>
          <t>0015259294518000</t>
        </is>
      </c>
      <c r="B35" t="inlineStr">
        <is>
          <t>SIBA SURYA</t>
        </is>
      </c>
      <c r="C35" t="inlineStr">
        <is>
          <t>08002600150543797</t>
        </is>
      </c>
      <c r="D35" t="inlineStr">
        <is>
          <t>2026-04-30T00:00:00</t>
        </is>
      </c>
      <c r="E35" t="inlineStr">
        <is>
          <t>April</t>
        </is>
      </c>
      <c r="F35" t="inlineStr">
        <is>
          <t>2026</t>
        </is>
      </c>
      <c r="I35" t="inlineStr">
        <is>
          <t>APPROVED</t>
        </is>
      </c>
      <c r="K35" s="31" t="n">
        <v>24200000</v>
      </c>
      <c r="L35" s="31" t="n">
        <v>22183333</v>
      </c>
      <c r="M35" s="31" t="n">
        <v>2662000</v>
      </c>
      <c r="R35" s="38" t="n">
        <v>605</v>
      </c>
      <c r="S35" s="13" t="n">
        <v>24200000</v>
      </c>
      <c r="T35" s="36">
        <f>O35+Q35+S35</f>
        <v/>
      </c>
      <c r="U35" s="35" t="inlineStr">
        <is>
          <t>-</t>
        </is>
      </c>
    </row>
    <row r="36">
      <c r="A36" t="inlineStr">
        <is>
          <t>0010000727051000</t>
        </is>
      </c>
      <c r="B36" t="inlineStr">
        <is>
          <t>PUPUK KALIMANTAN TIMUR</t>
        </is>
      </c>
      <c r="C36" t="inlineStr">
        <is>
          <t>04002600154041155</t>
        </is>
      </c>
      <c r="D36" t="inlineStr">
        <is>
          <t>2026-04-28T00:00:00</t>
        </is>
      </c>
      <c r="E36" t="inlineStr">
        <is>
          <t>April</t>
        </is>
      </c>
      <c r="F36" t="inlineStr">
        <is>
          <t>2026</t>
        </is>
      </c>
      <c r="I36" t="inlineStr">
        <is>
          <t>APPROVED</t>
        </is>
      </c>
      <c r="K36" s="31" t="n">
        <v>829500000</v>
      </c>
      <c r="L36" s="31" t="n">
        <v>760375000</v>
      </c>
      <c r="M36" s="31" t="n">
        <v>91245000</v>
      </c>
      <c r="N36" s="40" t="n">
        <v>9875000</v>
      </c>
      <c r="O36" s="13" t="n">
        <v>829500000</v>
      </c>
      <c r="T36" s="36">
        <f>O36+Q36+S36</f>
        <v/>
      </c>
      <c r="U36" s="35" t="inlineStr">
        <is>
          <t>-</t>
        </is>
      </c>
    </row>
    <row r="37">
      <c r="A37" t="inlineStr">
        <is>
          <t>0010000727051000</t>
        </is>
      </c>
      <c r="B37" t="inlineStr">
        <is>
          <t>PUPUK KALIMANTAN TIMUR</t>
        </is>
      </c>
      <c r="C37" t="inlineStr">
        <is>
          <t>04002600154041098</t>
        </is>
      </c>
      <c r="D37" t="inlineStr">
        <is>
          <t>2026-04-30T00:00:00</t>
        </is>
      </c>
      <c r="E37" t="inlineStr">
        <is>
          <t>April</t>
        </is>
      </c>
      <c r="F37" t="inlineStr">
        <is>
          <t>2026</t>
        </is>
      </c>
      <c r="I37" t="inlineStr">
        <is>
          <t>APPROVED</t>
        </is>
      </c>
      <c r="K37" s="31" t="n">
        <v>859125000</v>
      </c>
      <c r="L37" s="31" t="n">
        <v>787531250</v>
      </c>
      <c r="M37" s="31" t="n">
        <v>94503750</v>
      </c>
      <c r="N37" s="40" t="n">
        <v>9875000</v>
      </c>
      <c r="O37" s="13" t="n">
        <v>859125000</v>
      </c>
      <c r="T37" s="36">
        <f>O37+Q37+S37</f>
        <v/>
      </c>
      <c r="U37" s="35" t="inlineStr">
        <is>
          <t>-</t>
        </is>
      </c>
    </row>
    <row r="38">
      <c r="A38" t="inlineStr">
        <is>
          <t>0015259294518000</t>
        </is>
      </c>
      <c r="B38" t="inlineStr">
        <is>
          <t>SIBA SURYA</t>
        </is>
      </c>
      <c r="C38" t="inlineStr">
        <is>
          <t>08002600156150852</t>
        </is>
      </c>
      <c r="D38" t="inlineStr">
        <is>
          <t>2026-05-05T00:00:00</t>
        </is>
      </c>
      <c r="E38" t="inlineStr">
        <is>
          <t>Mei</t>
        </is>
      </c>
      <c r="F38" t="inlineStr">
        <is>
          <t>2026</t>
        </is>
      </c>
      <c r="I38" t="inlineStr">
        <is>
          <t>APPROVED</t>
        </is>
      </c>
      <c r="K38" s="31" t="n">
        <v>23200000</v>
      </c>
      <c r="L38" s="31" t="n">
        <v>21266667</v>
      </c>
      <c r="M38" s="31" t="n">
        <v>2552000</v>
      </c>
      <c r="R38" s="38" t="n">
        <v>580</v>
      </c>
      <c r="S38" s="18" t="n">
        <v>23200000</v>
      </c>
      <c r="T38" s="36">
        <f>O38+Q38+S38</f>
        <v/>
      </c>
      <c r="U38" s="35" t="inlineStr">
        <is>
          <t>-</t>
        </is>
      </c>
    </row>
    <row r="39">
      <c r="A39" t="inlineStr">
        <is>
          <t>0632550760323000</t>
        </is>
      </c>
      <c r="B39" t="inlineStr">
        <is>
          <t>YAA RINI SEJAHTERA</t>
        </is>
      </c>
      <c r="C39" t="inlineStr">
        <is>
          <t>03002600159547961</t>
        </is>
      </c>
      <c r="D39" t="inlineStr">
        <is>
          <t>2026-05-07T00:00:00</t>
        </is>
      </c>
      <c r="E39" t="inlineStr">
        <is>
          <t>Mei</t>
        </is>
      </c>
      <c r="F39" t="inlineStr">
        <is>
          <t>2026</t>
        </is>
      </c>
      <c r="I39" t="inlineStr">
        <is>
          <t>APPROVED</t>
        </is>
      </c>
      <c r="K39" s="31" t="n">
        <v>26702703</v>
      </c>
      <c r="L39" s="31" t="n">
        <v>24477477</v>
      </c>
      <c r="M39" s="31" t="n">
        <v>2937297</v>
      </c>
      <c r="R39" s="38" t="n">
        <v>117117.12</v>
      </c>
      <c r="S39" s="18" t="n">
        <v>26702703.36</v>
      </c>
      <c r="T39" s="36">
        <f>O39+Q39+S39</f>
        <v/>
      </c>
      <c r="U39" s="35" t="inlineStr">
        <is>
          <t>-</t>
        </is>
      </c>
    </row>
    <row r="40">
      <c r="A40" t="inlineStr">
        <is>
          <t>0010000727051000</t>
        </is>
      </c>
      <c r="B40" t="inlineStr">
        <is>
          <t>PUPUK KALIMANTAN TIMUR</t>
        </is>
      </c>
      <c r="C40" t="inlineStr">
        <is>
          <t>04002600160065079</t>
        </is>
      </c>
      <c r="D40" t="inlineStr">
        <is>
          <t>2026-05-06T00:00:00</t>
        </is>
      </c>
      <c r="E40" t="inlineStr">
        <is>
          <t>Mei</t>
        </is>
      </c>
      <c r="F40" t="inlineStr">
        <is>
          <t>2026</t>
        </is>
      </c>
      <c r="I40" t="inlineStr">
        <is>
          <t>APPROVED</t>
        </is>
      </c>
      <c r="K40" s="31" t="n">
        <v>4937500000</v>
      </c>
      <c r="L40" s="31" t="n">
        <v>4526041667</v>
      </c>
      <c r="M40" s="31" t="n">
        <v>543125000</v>
      </c>
      <c r="N40" s="38" t="n">
        <v>9875000</v>
      </c>
      <c r="O40" s="39" t="n">
        <v>4937500000</v>
      </c>
      <c r="P40" s="16" t="n"/>
      <c r="Q40" s="16" t="n"/>
      <c r="R40" s="16" t="n"/>
      <c r="S40" s="16" t="n"/>
      <c r="T40" s="36">
        <f>O40+Q40+S40</f>
        <v/>
      </c>
      <c r="U40" s="35" t="inlineStr">
        <is>
          <t>-</t>
        </is>
      </c>
    </row>
    <row r="41" hidden="1">
      <c r="T41" s="36">
        <f>O41+Q41+S41</f>
        <v/>
      </c>
      <c r="U41" s="35">
        <f>K41-T41</f>
        <v/>
      </c>
    </row>
    <row r="42" hidden="1">
      <c r="T42" s="36">
        <f>O42+Q42+S42</f>
        <v/>
      </c>
      <c r="U42" s="35">
        <f>K42-T42</f>
        <v/>
      </c>
    </row>
    <row r="43">
      <c r="A43" t="inlineStr">
        <is>
          <t>0015259294518000</t>
        </is>
      </c>
      <c r="B43" t="inlineStr">
        <is>
          <t>SIBA SURYA</t>
        </is>
      </c>
      <c r="C43" t="inlineStr">
        <is>
          <t>08002600163785460</t>
        </is>
      </c>
      <c r="D43" t="inlineStr">
        <is>
          <t>2026-05-08T00:00:00</t>
        </is>
      </c>
      <c r="E43" t="inlineStr">
        <is>
          <t>Mei</t>
        </is>
      </c>
      <c r="F43" t="inlineStr">
        <is>
          <t>2026</t>
        </is>
      </c>
      <c r="I43" t="inlineStr">
        <is>
          <t>APPROVED</t>
        </is>
      </c>
      <c r="K43" s="31" t="n">
        <v>22200000</v>
      </c>
      <c r="L43" s="31" t="n">
        <v>20350000</v>
      </c>
      <c r="M43" s="31" t="n">
        <v>2442000</v>
      </c>
      <c r="R43" s="38" t="n">
        <v>555</v>
      </c>
      <c r="S43" s="18" t="n">
        <v>22200000</v>
      </c>
      <c r="T43" s="36">
        <f>O43+Q43+S43</f>
        <v/>
      </c>
      <c r="U43" s="35" t="inlineStr">
        <is>
          <t>-</t>
        </is>
      </c>
    </row>
    <row r="44">
      <c r="A44" t="inlineStr">
        <is>
          <t>0015259294518000</t>
        </is>
      </c>
      <c r="B44" t="inlineStr">
        <is>
          <t>SIBA SURYA</t>
        </is>
      </c>
      <c r="C44" t="inlineStr">
        <is>
          <t>08002600163785449</t>
        </is>
      </c>
      <c r="D44" t="inlineStr">
        <is>
          <t>2026-05-08T00:00:00</t>
        </is>
      </c>
      <c r="E44" t="inlineStr">
        <is>
          <t>Mei</t>
        </is>
      </c>
      <c r="F44" t="inlineStr">
        <is>
          <t>2026</t>
        </is>
      </c>
      <c r="I44" t="inlineStr">
        <is>
          <t>APPROVED</t>
        </is>
      </c>
      <c r="K44" s="31" t="n">
        <v>29600000</v>
      </c>
      <c r="L44" s="31" t="n">
        <v>27133333</v>
      </c>
      <c r="M44" s="31" t="n">
        <v>3256000</v>
      </c>
      <c r="R44" s="38" t="n">
        <v>740</v>
      </c>
      <c r="S44" s="18" t="n">
        <v>29600000</v>
      </c>
      <c r="T44" s="36">
        <f>O44+Q44+S44</f>
        <v/>
      </c>
      <c r="U44" s="35" t="inlineStr">
        <is>
          <t>-</t>
        </is>
      </c>
    </row>
    <row r="45">
      <c r="A45" t="inlineStr">
        <is>
          <t>0015259294518000</t>
        </is>
      </c>
      <c r="B45" t="inlineStr">
        <is>
          <t>SIBA SURYA</t>
        </is>
      </c>
      <c r="C45" t="inlineStr">
        <is>
          <t>08002600167332897</t>
        </is>
      </c>
      <c r="D45" t="inlineStr">
        <is>
          <t>2026-05-11T00:00:00</t>
        </is>
      </c>
      <c r="E45" t="inlineStr">
        <is>
          <t>Mei</t>
        </is>
      </c>
      <c r="F45" t="inlineStr">
        <is>
          <t>2026</t>
        </is>
      </c>
      <c r="I45" t="inlineStr">
        <is>
          <t>APPROVED</t>
        </is>
      </c>
      <c r="K45" s="31" t="n">
        <v>7400000</v>
      </c>
      <c r="L45" s="31" t="n">
        <v>6783333</v>
      </c>
      <c r="M45" s="31" t="n">
        <v>814000</v>
      </c>
      <c r="R45" s="38" t="n">
        <v>185</v>
      </c>
      <c r="S45" s="18" t="n">
        <v>7400000</v>
      </c>
      <c r="T45" s="36">
        <f>O45+Q45+S45</f>
        <v/>
      </c>
      <c r="U45" s="35" t="inlineStr">
        <is>
          <t>-</t>
        </is>
      </c>
    </row>
    <row r="46">
      <c r="A46" t="inlineStr">
        <is>
          <t>0010000727051000</t>
        </is>
      </c>
      <c r="B46" t="inlineStr">
        <is>
          <t>PUPUK KALIMANTAN TIMUR</t>
        </is>
      </c>
      <c r="C46" t="inlineStr">
        <is>
          <t>04002600172219979</t>
        </is>
      </c>
      <c r="D46" t="inlineStr">
        <is>
          <t>2026-05-12T00:00:00</t>
        </is>
      </c>
      <c r="E46" t="inlineStr">
        <is>
          <t>Mei</t>
        </is>
      </c>
      <c r="F46" t="inlineStr">
        <is>
          <t>2026</t>
        </is>
      </c>
      <c r="I46" t="inlineStr">
        <is>
          <t>APPROVED</t>
        </is>
      </c>
      <c r="K46" s="31" t="n">
        <v>2172500000</v>
      </c>
      <c r="L46" s="31" t="n">
        <v>1991458333</v>
      </c>
      <c r="M46" s="31" t="n">
        <v>238975000</v>
      </c>
      <c r="N46" s="6" t="n">
        <v>9875000</v>
      </c>
      <c r="O46" s="4" t="n">
        <v>2172500000</v>
      </c>
      <c r="T46" s="36" t="n">
        <v>2172500000</v>
      </c>
      <c r="U46" s="35" t="inlineStr">
        <is>
          <t>-</t>
        </is>
      </c>
    </row>
    <row r="47">
      <c r="A47" t="inlineStr">
        <is>
          <t>0010000727051000</t>
        </is>
      </c>
      <c r="B47" t="inlineStr">
        <is>
          <t>PUPUK KALIMANTAN TIMUR</t>
        </is>
      </c>
      <c r="C47" t="inlineStr">
        <is>
          <t>04002600172219978</t>
        </is>
      </c>
      <c r="D47" t="inlineStr">
        <is>
          <t>2026-05-11T00:00:00</t>
        </is>
      </c>
      <c r="E47" t="inlineStr">
        <is>
          <t>Mei</t>
        </is>
      </c>
      <c r="F47" t="inlineStr">
        <is>
          <t>2026</t>
        </is>
      </c>
      <c r="I47" t="inlineStr">
        <is>
          <t>APPROVED</t>
        </is>
      </c>
      <c r="K47" s="31" t="n">
        <v>207375000</v>
      </c>
      <c r="L47" s="31" t="n">
        <v>190093750</v>
      </c>
      <c r="M47" s="31" t="n">
        <v>22811250</v>
      </c>
      <c r="N47" s="6" t="n">
        <v>9875000</v>
      </c>
      <c r="O47" s="4" t="n">
        <v>207375000</v>
      </c>
      <c r="T47" s="36" t="n">
        <v>207375000</v>
      </c>
      <c r="U47" s="35" t="inlineStr">
        <is>
          <t>-</t>
        </is>
      </c>
    </row>
    <row r="48">
      <c r="A48" t="inlineStr">
        <is>
          <t>0010000727051000</t>
        </is>
      </c>
      <c r="B48" t="inlineStr">
        <is>
          <t>PUPUK KALIMANTAN TIMUR</t>
        </is>
      </c>
      <c r="C48" t="inlineStr">
        <is>
          <t>04002600172219956</t>
        </is>
      </c>
      <c r="D48" t="inlineStr">
        <is>
          <t>2026-05-09T00:00:00</t>
        </is>
      </c>
      <c r="E48" t="inlineStr">
        <is>
          <t>Mei</t>
        </is>
      </c>
      <c r="F48" t="inlineStr">
        <is>
          <t>2026</t>
        </is>
      </c>
      <c r="I48" t="inlineStr">
        <is>
          <t>APPROVED</t>
        </is>
      </c>
      <c r="K48" s="31" t="n">
        <v>375250000</v>
      </c>
      <c r="L48" s="31" t="n">
        <v>343979167</v>
      </c>
      <c r="M48" s="31" t="n">
        <v>41277500</v>
      </c>
      <c r="N48" s="6" t="n">
        <v>9875000</v>
      </c>
      <c r="O48" s="4" t="n">
        <v>375250000</v>
      </c>
      <c r="T48" s="36">
        <f>O48+Q48+S48</f>
        <v/>
      </c>
      <c r="U48" s="35" t="inlineStr">
        <is>
          <t>-</t>
        </is>
      </c>
    </row>
    <row r="49">
      <c r="A49" t="inlineStr">
        <is>
          <t>0010000727051000</t>
        </is>
      </c>
      <c r="B49" t="inlineStr">
        <is>
          <t>PUPUK KALIMANTAN TIMUR</t>
        </is>
      </c>
      <c r="C49" t="inlineStr">
        <is>
          <t>04002600172219926</t>
        </is>
      </c>
      <c r="D49" t="inlineStr">
        <is>
          <t>2026-05-03T00:00:00</t>
        </is>
      </c>
      <c r="E49" t="inlineStr">
        <is>
          <t>Mei</t>
        </is>
      </c>
      <c r="F49" t="inlineStr">
        <is>
          <t>2026</t>
        </is>
      </c>
      <c r="I49" t="inlineStr">
        <is>
          <t>APPROVED</t>
        </is>
      </c>
      <c r="K49" s="31" t="n">
        <v>375250000</v>
      </c>
      <c r="L49" s="31" t="n">
        <v>343979167</v>
      </c>
      <c r="M49" s="31" t="n">
        <v>41277500</v>
      </c>
      <c r="N49" s="6" t="n">
        <v>9875000</v>
      </c>
      <c r="O49" s="4" t="n">
        <v>375250000</v>
      </c>
      <c r="T49" s="36" t="n">
        <v>375250000</v>
      </c>
      <c r="U49" s="35" t="inlineStr">
        <is>
          <t>-</t>
        </is>
      </c>
    </row>
    <row r="50">
      <c r="A50" t="inlineStr">
        <is>
          <t>0010000727051000</t>
        </is>
      </c>
      <c r="B50" t="inlineStr">
        <is>
          <t>PUPUK KALIMANTAN TIMUR</t>
        </is>
      </c>
      <c r="C50" t="inlineStr">
        <is>
          <t>04002600172219898</t>
        </is>
      </c>
      <c r="D50" t="inlineStr">
        <is>
          <t>2026-05-08T00:00:00</t>
        </is>
      </c>
      <c r="E50" t="inlineStr">
        <is>
          <t>Mei</t>
        </is>
      </c>
      <c r="F50" t="inlineStr">
        <is>
          <t>2026</t>
        </is>
      </c>
      <c r="I50" t="inlineStr">
        <is>
          <t>APPROVED</t>
        </is>
      </c>
      <c r="K50" s="31" t="n">
        <v>2330500000</v>
      </c>
      <c r="L50" s="31" t="n">
        <v>2136291667</v>
      </c>
      <c r="M50" s="31" t="n">
        <v>256355000</v>
      </c>
      <c r="N50" s="6" t="n">
        <v>9875000</v>
      </c>
      <c r="O50" s="4" t="n">
        <v>2330500000</v>
      </c>
      <c r="T50" s="36">
        <f>O50+Q50+S50</f>
        <v/>
      </c>
      <c r="U50" s="35" t="inlineStr">
        <is>
          <t>-</t>
        </is>
      </c>
    </row>
    <row r="51">
      <c r="A51" t="inlineStr">
        <is>
          <t>0010000727051000</t>
        </is>
      </c>
      <c r="B51" t="inlineStr">
        <is>
          <t>PUPUK KALIMANTAN TIMUR</t>
        </is>
      </c>
      <c r="C51" t="inlineStr">
        <is>
          <t>04002600172219915</t>
        </is>
      </c>
      <c r="D51" t="inlineStr">
        <is>
          <t>2026-05-12T00:00:00</t>
        </is>
      </c>
      <c r="E51" t="inlineStr">
        <is>
          <t>Mei</t>
        </is>
      </c>
      <c r="F51" t="inlineStr">
        <is>
          <t>2026</t>
        </is>
      </c>
      <c r="I51" t="inlineStr">
        <is>
          <t>APPROVED</t>
        </is>
      </c>
      <c r="K51" s="31" t="n">
        <v>2765000000</v>
      </c>
      <c r="L51" s="31" t="n">
        <v>2534583333</v>
      </c>
      <c r="M51" s="31" t="n">
        <v>304150000</v>
      </c>
      <c r="N51" s="6" t="n">
        <v>9875000</v>
      </c>
      <c r="O51" s="4" t="n">
        <v>2765000000</v>
      </c>
      <c r="T51" s="36">
        <f>O51+Q51+S51</f>
        <v/>
      </c>
      <c r="U51" s="35" t="inlineStr">
        <is>
          <t>-</t>
        </is>
      </c>
    </row>
    <row r="52">
      <c r="A52" t="inlineStr">
        <is>
          <t>0010000727051000</t>
        </is>
      </c>
      <c r="B52" t="inlineStr">
        <is>
          <t>PUPUK KALIMANTAN TIMUR</t>
        </is>
      </c>
      <c r="C52" t="inlineStr">
        <is>
          <t>04002600172219948</t>
        </is>
      </c>
      <c r="D52" t="inlineStr">
        <is>
          <t>2026-05-05T00:00:00</t>
        </is>
      </c>
      <c r="E52" t="inlineStr">
        <is>
          <t>Mei</t>
        </is>
      </c>
      <c r="F52" t="inlineStr">
        <is>
          <t>2026</t>
        </is>
      </c>
      <c r="I52" t="inlineStr">
        <is>
          <t>APPROVED</t>
        </is>
      </c>
      <c r="K52" s="31" t="n">
        <v>1876250000</v>
      </c>
      <c r="L52" s="31" t="n">
        <v>1719895833</v>
      </c>
      <c r="M52" s="31" t="n">
        <v>206387500</v>
      </c>
      <c r="N52" s="6" t="n">
        <v>9875000</v>
      </c>
      <c r="O52" s="4" t="n">
        <v>1876250000</v>
      </c>
      <c r="T52" s="36">
        <f>O52+Q52+S52</f>
        <v/>
      </c>
      <c r="U52" s="35" t="inlineStr">
        <is>
          <t>-</t>
        </is>
      </c>
    </row>
    <row r="53">
      <c r="A53" t="inlineStr">
        <is>
          <t>0010000727051000</t>
        </is>
      </c>
      <c r="B53" t="inlineStr">
        <is>
          <t>PUPUK KALIMANTAN TIMUR</t>
        </is>
      </c>
      <c r="C53" t="inlineStr">
        <is>
          <t>04002600172219922</t>
        </is>
      </c>
      <c r="D53" t="inlineStr">
        <is>
          <t>2026-05-06T00:00:00</t>
        </is>
      </c>
      <c r="E53" t="inlineStr">
        <is>
          <t>Mei</t>
        </is>
      </c>
      <c r="F53" t="inlineStr">
        <is>
          <t>2026</t>
        </is>
      </c>
      <c r="I53" t="inlineStr">
        <is>
          <t>APPROVED</t>
        </is>
      </c>
      <c r="K53" s="31" t="n">
        <v>1935500000</v>
      </c>
      <c r="L53" s="31" t="n">
        <v>1774208333</v>
      </c>
      <c r="M53" s="31" t="n">
        <v>212905000</v>
      </c>
      <c r="N53" s="6" t="n">
        <v>9875000</v>
      </c>
      <c r="O53" s="4" t="n">
        <v>1935500000</v>
      </c>
      <c r="T53" s="36">
        <f>O53+Q53+S53</f>
        <v/>
      </c>
      <c r="U53" s="35" t="inlineStr">
        <is>
          <t>-</t>
        </is>
      </c>
    </row>
    <row r="54">
      <c r="A54" t="inlineStr">
        <is>
          <t>0010000727051000</t>
        </is>
      </c>
      <c r="B54" t="inlineStr">
        <is>
          <t>PUPUK KALIMANTAN TIMUR</t>
        </is>
      </c>
      <c r="C54" t="inlineStr">
        <is>
          <t>04002600172219895</t>
        </is>
      </c>
      <c r="D54" t="inlineStr">
        <is>
          <t>2026-05-04T00:00:00</t>
        </is>
      </c>
      <c r="E54" t="inlineStr">
        <is>
          <t>Mei</t>
        </is>
      </c>
      <c r="F54" t="inlineStr">
        <is>
          <t>2026</t>
        </is>
      </c>
      <c r="I54" t="inlineStr">
        <is>
          <t>APPROVED</t>
        </is>
      </c>
      <c r="K54" s="31" t="n">
        <v>1086250000</v>
      </c>
      <c r="L54" s="31" t="n">
        <v>995729167</v>
      </c>
      <c r="M54" s="31" t="n">
        <v>119487500</v>
      </c>
      <c r="N54" s="6" t="n">
        <v>9875000</v>
      </c>
      <c r="O54" s="4" t="n">
        <v>1086250000</v>
      </c>
      <c r="T54" s="36">
        <f>O54+Q54+S54</f>
        <v/>
      </c>
      <c r="U54" s="35" t="inlineStr">
        <is>
          <t>-</t>
        </is>
      </c>
    </row>
    <row r="55">
      <c r="A55" t="inlineStr">
        <is>
          <t>0010000727051000</t>
        </is>
      </c>
      <c r="B55" t="inlineStr">
        <is>
          <t>PUPUK KALIMANTAN TIMUR</t>
        </is>
      </c>
      <c r="C55" t="inlineStr">
        <is>
          <t>04002600169909529</t>
        </is>
      </c>
      <c r="D55" t="inlineStr">
        <is>
          <t>2026-05-11T00:00:00</t>
        </is>
      </c>
      <c r="E55" t="inlineStr">
        <is>
          <t>Mei</t>
        </is>
      </c>
      <c r="F55" t="inlineStr">
        <is>
          <t>2026</t>
        </is>
      </c>
      <c r="I55" t="inlineStr">
        <is>
          <t>APPROVED</t>
        </is>
      </c>
      <c r="K55" s="31" t="n">
        <v>4937500000</v>
      </c>
      <c r="L55" s="31" t="n">
        <v>4526041667</v>
      </c>
      <c r="M55" s="31" t="n">
        <v>543125000</v>
      </c>
      <c r="N55" s="6" t="n">
        <v>9875000</v>
      </c>
      <c r="O55" s="4" t="n">
        <v>4937500000</v>
      </c>
      <c r="T55" s="36">
        <f>O55+Q55+S55</f>
        <v/>
      </c>
      <c r="U55" s="35" t="inlineStr">
        <is>
          <t>-</t>
        </is>
      </c>
    </row>
    <row r="56">
      <c r="T56" s="36">
        <f>O56+Q56+S56</f>
        <v/>
      </c>
      <c r="U56" s="35">
        <f>K56-T56</f>
        <v/>
      </c>
    </row>
    <row r="57">
      <c r="T57" s="36">
        <f>O57+Q57+S57</f>
        <v/>
      </c>
      <c r="U57" s="35">
        <f>K57-T57</f>
        <v/>
      </c>
    </row>
    <row r="58">
      <c r="T58" s="36">
        <f>O58+Q58+S58</f>
        <v/>
      </c>
      <c r="U58" s="35">
        <f>K58-T58</f>
        <v/>
      </c>
    </row>
    <row r="59">
      <c r="T59" s="36">
        <f>O59+Q59+S59</f>
        <v/>
      </c>
      <c r="U59" s="35">
        <f>K59-T59</f>
        <v/>
      </c>
    </row>
  </sheetData>
  <autoFilter ref="A1:U55">
    <filterColumn colId="8" hiddenButton="0" showButton="1">
      <filters>
        <filter val="APPROVED"/>
      </filters>
    </filterColumn>
  </autoFilter>
  <conditionalFormatting sqref="C9:C16">
    <cfRule type="duplicateValues" priority="13" dxfId="0"/>
  </conditionalFormatting>
  <conditionalFormatting sqref="C17:C18">
    <cfRule type="duplicateValues" priority="11" dxfId="0"/>
  </conditionalFormatting>
  <conditionalFormatting sqref="C19">
    <cfRule type="duplicateValues" priority="10" dxfId="0"/>
  </conditionalFormatting>
  <conditionalFormatting sqref="C20">
    <cfRule type="duplicateValues" priority="14" dxfId="0"/>
  </conditionalFormatting>
  <conditionalFormatting sqref="C33">
    <cfRule type="duplicateValues" priority="8" dxfId="0"/>
  </conditionalFormatting>
  <conditionalFormatting sqref="C34">
    <cfRule type="duplicateValues" priority="7" dxfId="0"/>
  </conditionalFormatting>
  <conditionalFormatting sqref="C35">
    <cfRule type="duplicateValues" priority="6" dxfId="0"/>
  </conditionalFormatting>
  <conditionalFormatting sqref="C36:C37">
    <cfRule type="duplicateValues" priority="5" dxfId="0"/>
  </conditionalFormatting>
  <conditionalFormatting sqref="C38">
    <cfRule type="duplicateValues" priority="4" dxfId="0"/>
  </conditionalFormatting>
  <conditionalFormatting sqref="C43:C44">
    <cfRule type="duplicateValues" priority="3" dxfId="0"/>
  </conditionalFormatting>
  <conditionalFormatting sqref="C45">
    <cfRule type="duplicateValues" priority="2" dxfId="0"/>
  </conditionalFormatting>
  <conditionalFormatting sqref="C46:C55">
    <cfRule type="duplicateValues" priority="1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Faris</dc:creator>
  <dcterms:created xsi:type="dcterms:W3CDTF">2026-03-10T02:28:49Z</dcterms:created>
  <dcterms:modified xsi:type="dcterms:W3CDTF">2026-05-16T06:28:35Z</dcterms:modified>
  <cp:lastModifiedBy>User</cp:lastModifiedBy>
</cp:coreProperties>
</file>